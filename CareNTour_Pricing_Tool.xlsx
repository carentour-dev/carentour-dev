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ohamed/Library/Mobile Documents/com~apple~CloudDocs/Carentour/Finance/"/>
    </mc:Choice>
  </mc:AlternateContent>
  <xr:revisionPtr revIDLastSave="0" documentId="13_ncr:1_{2BC4FC37-D310-E54F-90D6-F2056F6B1B4B}" xr6:coauthVersionLast="47" xr6:coauthVersionMax="47" xr10:uidLastSave="{00000000-0000-0000-0000-000000000000}"/>
  <bookViews>
    <workbookView xWindow="-20" yWindow="500" windowWidth="28800" windowHeight="16260" activeTab="4" xr2:uid="{00000000-000D-0000-FFFF-FFFF00000000}"/>
  </bookViews>
  <sheets>
    <sheet name="PRICING CALCULATOR" sheetId="1" r:id="rId1"/>
    <sheet name="Medical Procedures" sheetId="3" r:id="rId2"/>
    <sheet name="Accommodation" sheetId="4" r:id="rId3"/>
    <sheet name="Transportation" sheetId="5" r:id="rId4"/>
    <sheet name="Tourism &amp; Extras" sheetId="6" r:id="rId5"/>
    <sheet name="Indirect Costs" sheetId="7" r:id="rId6"/>
    <sheet name="Currency Rates" sheetId="8" r:id="rId7"/>
    <sheet name="Quote Generator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9" l="1"/>
  <c r="B18" i="9"/>
  <c r="D5" i="7"/>
  <c r="D6" i="7"/>
  <c r="D7" i="7"/>
  <c r="D8" i="7"/>
  <c r="D9" i="7"/>
  <c r="D10" i="7"/>
  <c r="D11" i="7"/>
  <c r="D12" i="7"/>
  <c r="D13" i="7"/>
  <c r="D4" i="7"/>
  <c r="B6" i="8"/>
  <c r="B7" i="8"/>
  <c r="B8" i="8"/>
  <c r="B9" i="8"/>
  <c r="B5" i="8"/>
  <c r="F28" i="1" s="1"/>
  <c r="B34" i="9"/>
  <c r="A34" i="9"/>
  <c r="B33" i="9"/>
  <c r="A33" i="9"/>
  <c r="B32" i="9"/>
  <c r="A32" i="9"/>
  <c r="B31" i="9"/>
  <c r="A31" i="9"/>
  <c r="F30" i="9"/>
  <c r="D30" i="9"/>
  <c r="B30" i="9"/>
  <c r="A30" i="9"/>
  <c r="B22" i="9"/>
  <c r="B21" i="9"/>
  <c r="F14" i="9"/>
  <c r="B14" i="9"/>
  <c r="E11" i="9"/>
  <c r="B11" i="9"/>
  <c r="E10" i="9"/>
  <c r="B10" i="9"/>
  <c r="B9" i="9"/>
  <c r="B15" i="7"/>
  <c r="C13" i="7"/>
  <c r="C12" i="7"/>
  <c r="C11" i="7"/>
  <c r="C10" i="7"/>
  <c r="C9" i="7"/>
  <c r="C8" i="7"/>
  <c r="C7" i="7"/>
  <c r="C6" i="7"/>
  <c r="C5" i="7"/>
  <c r="C4" i="7"/>
  <c r="B40" i="1"/>
  <c r="E34" i="1"/>
  <c r="E32" i="1"/>
  <c r="E28" i="1"/>
  <c r="E27" i="1"/>
  <c r="E26" i="1"/>
  <c r="E25" i="1"/>
  <c r="F25" i="1" s="1"/>
  <c r="F32" i="9" s="1"/>
  <c r="D25" i="1"/>
  <c r="D32" i="9" s="1"/>
  <c r="E24" i="1"/>
  <c r="E29" i="1" s="1"/>
  <c r="E35" i="1" s="1"/>
  <c r="D24" i="1"/>
  <c r="D31" i="9" s="1"/>
  <c r="D20" i="1"/>
  <c r="D19" i="1"/>
  <c r="D15" i="1"/>
  <c r="F15" i="1" s="1"/>
  <c r="F14" i="1"/>
  <c r="H14" i="1" s="1"/>
  <c r="D14" i="1"/>
  <c r="D10" i="1"/>
  <c r="B5" i="1"/>
  <c r="E9" i="9" s="1"/>
  <c r="D26" i="1" l="1"/>
  <c r="D33" i="9" s="1"/>
  <c r="B34" i="1"/>
  <c r="F26" i="1"/>
  <c r="F33" i="9" s="1"/>
  <c r="D27" i="1"/>
  <c r="D34" i="9" s="1"/>
  <c r="F27" i="1"/>
  <c r="F34" i="9" s="1"/>
  <c r="D28" i="1"/>
  <c r="F24" i="1"/>
  <c r="F31" i="9" s="1"/>
  <c r="C15" i="7"/>
  <c r="D15" i="7"/>
  <c r="B36" i="1" s="1"/>
  <c r="E37" i="9" s="1"/>
  <c r="H15" i="1"/>
  <c r="B33" i="1" s="1"/>
  <c r="E33" i="1"/>
  <c r="B32" i="1"/>
  <c r="F29" i="1" l="1"/>
  <c r="B35" i="1" s="1"/>
  <c r="B37" i="1" s="1"/>
  <c r="B41" i="1" l="1"/>
  <c r="D43" i="1" s="1"/>
  <c r="E39" i="9" s="1"/>
</calcChain>
</file>

<file path=xl/sharedStrings.xml><?xml version="1.0" encoding="utf-8"?>
<sst xmlns="http://schemas.openxmlformats.org/spreadsheetml/2006/main" count="403" uniqueCount="305">
  <si>
    <t>CARE N TOUR - Medical Tourism Pricing Calculator</t>
  </si>
  <si>
    <t>Premium Medical Care in Egypt</t>
  </si>
  <si>
    <t>QUOTE INFORMATION</t>
  </si>
  <si>
    <t>Quote Date:</t>
  </si>
  <si>
    <t>Quote Number:</t>
  </si>
  <si>
    <t>QT-2026-001</t>
  </si>
  <si>
    <t>Client Type:</t>
  </si>
  <si>
    <t>B2C</t>
  </si>
  <si>
    <t>Patient Name:</t>
  </si>
  <si>
    <t>Country of Origin:</t>
  </si>
  <si>
    <t>Age:</t>
  </si>
  <si>
    <t>MEDICAL PROCEDURE</t>
  </si>
  <si>
    <t>Procedure Name:</t>
  </si>
  <si>
    <t>Hospital Tier:</t>
  </si>
  <si>
    <t>Premium</t>
  </si>
  <si>
    <t>Medical Cost (EGP):</t>
  </si>
  <si>
    <t>→ USD:</t>
  </si>
  <si>
    <t>Length of Stay:</t>
  </si>
  <si>
    <t>nights</t>
  </si>
  <si>
    <t>ACCOMMODATION</t>
  </si>
  <si>
    <t>Hotel Category:</t>
  </si>
  <si>
    <t>5-Star</t>
  </si>
  <si>
    <t>Room Type:</t>
  </si>
  <si>
    <t>Standard Room</t>
  </si>
  <si>
    <t>Meal Plan:</t>
  </si>
  <si>
    <t>Half Board</t>
  </si>
  <si>
    <t>Cost per Night (EGP):</t>
  </si>
  <si>
    <t>Nights:</t>
  </si>
  <si>
    <t>Total (EGP):</t>
  </si>
  <si>
    <t>Meal Plan Cost (EGP/day):</t>
  </si>
  <si>
    <t>Days:</t>
  </si>
  <si>
    <t>TRANSPORTATION</t>
  </si>
  <si>
    <t>Flight Cost (USD):</t>
  </si>
  <si>
    <t>Origin:</t>
  </si>
  <si>
    <t>Flight Type:</t>
  </si>
  <si>
    <t>Round Trip</t>
  </si>
  <si>
    <t>Airport Transfers (EGP):</t>
  </si>
  <si>
    <t>Vehicle Type:</t>
  </si>
  <si>
    <t>Standard Car</t>
  </si>
  <si>
    <t>Local Transport (EGP):</t>
  </si>
  <si>
    <t>Days Needed:</t>
  </si>
  <si>
    <t>TOURISM &amp; ADDITIONAL SERVICES</t>
  </si>
  <si>
    <t>Service Name</t>
  </si>
  <si>
    <t>Quantity</t>
  </si>
  <si>
    <t>Unit Cost (EGP)</t>
  </si>
  <si>
    <t>Unit Cost (USD)</t>
  </si>
  <si>
    <t>Total (EGP)</t>
  </si>
  <si>
    <t>Total (USD)</t>
  </si>
  <si>
    <t>Total Extras:</t>
  </si>
  <si>
    <t>COST SUMMARY</t>
  </si>
  <si>
    <t>Medical Procedure Cost</t>
  </si>
  <si>
    <t>EGP:</t>
  </si>
  <si>
    <t>Accommodation (Hotel + Meals)</t>
  </si>
  <si>
    <t>Transportation (Flight + Local)</t>
  </si>
  <si>
    <t>Tourism &amp; Additional Services</t>
  </si>
  <si>
    <t>Indirect Cost per Patient</t>
  </si>
  <si>
    <t>SUBTOTAL (Direct + Indirect Costs)</t>
  </si>
  <si>
    <t>PROFIT MARGIN &amp; FINAL PRICE</t>
  </si>
  <si>
    <t>Profit Margin %:</t>
  </si>
  <si>
    <t>(B2B: 35% | B2C: 50-65%)</t>
  </si>
  <si>
    <t>Profit Amount:</t>
  </si>
  <si>
    <t>FINAL PRICE (USD)</t>
  </si>
  <si>
    <t>Procedure Code</t>
  </si>
  <si>
    <t>Procedure Name</t>
  </si>
  <si>
    <t>Category</t>
  </si>
  <si>
    <t>Premium Hospital (EGP)</t>
  </si>
  <si>
    <t>Mid-Range Hospital (EGP)</t>
  </si>
  <si>
    <t>Budget Hospital (EGP)</t>
  </si>
  <si>
    <t>Typical Length of Stay (nights)</t>
  </si>
  <si>
    <t>Pre-Op Days</t>
  </si>
  <si>
    <t>Post-Op Days</t>
  </si>
  <si>
    <t>Notes</t>
  </si>
  <si>
    <t>P001</t>
  </si>
  <si>
    <t>Cosmetic Surgery</t>
  </si>
  <si>
    <t>P002</t>
  </si>
  <si>
    <t>Dental</t>
  </si>
  <si>
    <t>P003</t>
  </si>
  <si>
    <t>Orthopedic</t>
  </si>
  <si>
    <t>P004</t>
  </si>
  <si>
    <t>Cardiac</t>
  </si>
  <si>
    <t>P005</t>
  </si>
  <si>
    <t>Fertility</t>
  </si>
  <si>
    <t>P006</t>
  </si>
  <si>
    <t>Ophthalmology</t>
  </si>
  <si>
    <t>P007</t>
  </si>
  <si>
    <t>Bariatric</t>
  </si>
  <si>
    <t>P008</t>
  </si>
  <si>
    <t>General Surgery</t>
  </si>
  <si>
    <t>P009</t>
  </si>
  <si>
    <t>Cancer Treatment</t>
  </si>
  <si>
    <t>P010</t>
  </si>
  <si>
    <t>Diagnostics</t>
  </si>
  <si>
    <t>Hotel Code</t>
  </si>
  <si>
    <t>Hotel Name</t>
  </si>
  <si>
    <t>Star Rating</t>
  </si>
  <si>
    <t>Location</t>
  </si>
  <si>
    <t>Room Type</t>
  </si>
  <si>
    <t>Price per Night (EGP)</t>
  </si>
  <si>
    <t>Meal Plan</t>
  </si>
  <si>
    <t>Meal Plan Cost (EGP/day)</t>
  </si>
  <si>
    <t>Airport Distance (km)</t>
  </si>
  <si>
    <t>H001</t>
  </si>
  <si>
    <t>Premium Hotel - Cairo</t>
  </si>
  <si>
    <t>Cairo</t>
  </si>
  <si>
    <t>Breakfast</t>
  </si>
  <si>
    <t>H002</t>
  </si>
  <si>
    <t>Deluxe Room</t>
  </si>
  <si>
    <t>H003</t>
  </si>
  <si>
    <t>Mid-Range Hotel - Cairo</t>
  </si>
  <si>
    <t>4-Star</t>
  </si>
  <si>
    <t>H004</t>
  </si>
  <si>
    <t>Suite</t>
  </si>
  <si>
    <t>Full Board</t>
  </si>
  <si>
    <t>H005</t>
  </si>
  <si>
    <t>Budget Hotel - Cairo</t>
  </si>
  <si>
    <t>3-Star</t>
  </si>
  <si>
    <t>H006</t>
  </si>
  <si>
    <t>Twin Room</t>
  </si>
  <si>
    <t>H007</t>
  </si>
  <si>
    <t>Premium Hotel - Giza</t>
  </si>
  <si>
    <t>Giza</t>
  </si>
  <si>
    <t>Pyramid View</t>
  </si>
  <si>
    <t>All Inclusive</t>
  </si>
  <si>
    <t>H008</t>
  </si>
  <si>
    <t>Mid-Range Hotel - Giza</t>
  </si>
  <si>
    <t>Service Type</t>
  </si>
  <si>
    <t>Description</t>
  </si>
  <si>
    <t>Route/Details</t>
  </si>
  <si>
    <t>Vehicle Type</t>
  </si>
  <si>
    <t>Cost (EGP)</t>
  </si>
  <si>
    <t>Cost (USD)</t>
  </si>
  <si>
    <t>Cost (EUR)</t>
  </si>
  <si>
    <t>Provider</t>
  </si>
  <si>
    <t>Airport Transfer</t>
  </si>
  <si>
    <t>Airport to Hotel (One Way)</t>
  </si>
  <si>
    <t>Cairo Airport - Hotel</t>
  </si>
  <si>
    <t>Luxury Car</t>
  </si>
  <si>
    <t>Airport to Hotel (Round Trip)</t>
  </si>
  <si>
    <t>Local Transport</t>
  </si>
  <si>
    <t>Daily Car Rental</t>
  </si>
  <si>
    <t>Within Cairo</t>
  </si>
  <si>
    <t>Standard Car + Driver</t>
  </si>
  <si>
    <t>8 hours</t>
  </si>
  <si>
    <t>Hospital Transfers</t>
  </si>
  <si>
    <t>Hotel to Hospital (per trip)</t>
  </si>
  <si>
    <t>Flight Estimate</t>
  </si>
  <si>
    <t>Europe to Cairo</t>
  </si>
  <si>
    <t>Average Economy</t>
  </si>
  <si>
    <t>Commercial</t>
  </si>
  <si>
    <t>Round trip</t>
  </si>
  <si>
    <t>Middle East to Cairo</t>
  </si>
  <si>
    <t>North America to Cairo</t>
  </si>
  <si>
    <t>Africa to Cairo</t>
  </si>
  <si>
    <t>Service Code</t>
  </si>
  <si>
    <t>Duration</t>
  </si>
  <si>
    <t>Max Persons</t>
  </si>
  <si>
    <t>T001</t>
  </si>
  <si>
    <t>Pyramids &amp; Sphinx Tour</t>
  </si>
  <si>
    <t>Sightseeing</t>
  </si>
  <si>
    <t>Giza Pyramids, Sphinx, Museum</t>
  </si>
  <si>
    <t>Half Day</t>
  </si>
  <si>
    <t>T002</t>
  </si>
  <si>
    <t>Full Day Cairo Tour</t>
  </si>
  <si>
    <t>Pyramids, Egyptian Museum, Khan el-Khalili</t>
  </si>
  <si>
    <t>Full Day</t>
  </si>
  <si>
    <t>T003</t>
  </si>
  <si>
    <t>Nile Dinner Cruise</t>
  </si>
  <si>
    <t>Entertainment</t>
  </si>
  <si>
    <t>Dinner cruise with show</t>
  </si>
  <si>
    <t>3 hours</t>
  </si>
  <si>
    <t>T004</t>
  </si>
  <si>
    <t>Luxor Day Trip</t>
  </si>
  <si>
    <t>Valley of Kings, Karnak Temple (flight)</t>
  </si>
  <si>
    <t>Includes flights</t>
  </si>
  <si>
    <t>T005</t>
  </si>
  <si>
    <t>Alexandria Day Trip</t>
  </si>
  <si>
    <t>Library, Citadel, Montazah</t>
  </si>
  <si>
    <t>T006</t>
  </si>
  <si>
    <t>Desert Safari</t>
  </si>
  <si>
    <t>Adventure</t>
  </si>
  <si>
    <t>Quad biking, camel ride, BBQ dinner</t>
  </si>
  <si>
    <t>E001</t>
  </si>
  <si>
    <t>Medical Translator</t>
  </si>
  <si>
    <t>Support Service</t>
  </si>
  <si>
    <t>Professional medical translator</t>
  </si>
  <si>
    <t>Per Day</t>
  </si>
  <si>
    <t>E002</t>
  </si>
  <si>
    <t>Private Nurse</t>
  </si>
  <si>
    <t>Medical Support</t>
  </si>
  <si>
    <t>24hr private nursing care</t>
  </si>
  <si>
    <t>E003</t>
  </si>
  <si>
    <t>Companion Accommodation</t>
  </si>
  <si>
    <t>Support</t>
  </si>
  <si>
    <t>Additional room for companion</t>
  </si>
  <si>
    <t>Per Night</t>
  </si>
  <si>
    <t>E004</t>
  </si>
  <si>
    <t>Visa Assistance</t>
  </si>
  <si>
    <t>Documentation</t>
  </si>
  <si>
    <t>Complete visa processing support</t>
  </si>
  <si>
    <t>One Time</t>
  </si>
  <si>
    <t>E005</t>
  </si>
  <si>
    <t>SIM Card &amp; Internet</t>
  </si>
  <si>
    <t>Communication</t>
  </si>
  <si>
    <t>Local SIM with data package</t>
  </si>
  <si>
    <t>E006</t>
  </si>
  <si>
    <t>Medical Records Translation</t>
  </si>
  <si>
    <t>Professional medical document translation</t>
  </si>
  <si>
    <t>Per Document</t>
  </si>
  <si>
    <t>Annual Indirect Costs Overview</t>
  </si>
  <si>
    <t>Cost Category</t>
  </si>
  <si>
    <t>Annual Cost (USD)</t>
  </si>
  <si>
    <t>Monthly Cost (USD)</t>
  </si>
  <si>
    <t>Per Patient Allocation</t>
  </si>
  <si>
    <t>Marketing &amp; Advertising</t>
  </si>
  <si>
    <t>Digital ads, SEO, content marketing</t>
  </si>
  <si>
    <t>Staff Salaries</t>
  </si>
  <si>
    <t>Coordinators, admin, customer service</t>
  </si>
  <si>
    <t>Office Rent &amp; Utilities</t>
  </si>
  <si>
    <t>Office space, electricity, internet</t>
  </si>
  <si>
    <t>Insurance &amp; Legal</t>
  </si>
  <si>
    <t>Business insurance, legal fees</t>
  </si>
  <si>
    <t>Technology &amp; Software</t>
  </si>
  <si>
    <t>CRM, booking systems, website</t>
  </si>
  <si>
    <t>Commission to Agents</t>
  </si>
  <si>
    <t>Referral fees, partnerships</t>
  </si>
  <si>
    <t>Quality Control &amp; Accreditation</t>
  </si>
  <si>
    <t>Audits, certifications</t>
  </si>
  <si>
    <t>Customer Support &amp; Follow-up</t>
  </si>
  <si>
    <t>Post-treatment care coordination</t>
  </si>
  <si>
    <t>Training &amp; Development</t>
  </si>
  <si>
    <t>Staff training programs</t>
  </si>
  <si>
    <t>Contingency Fund</t>
  </si>
  <si>
    <t>Emergency situations, refunds</t>
  </si>
  <si>
    <t>TOTAL ANNUAL INDIRECT COSTS</t>
  </si>
  <si>
    <t>Based on 250 patients/year</t>
  </si>
  <si>
    <t>Note:</t>
  </si>
  <si>
    <t>Adjust "Per Patient Allocation" formula based on your projected annual patient volume.</t>
  </si>
  <si>
    <t>Expected Annual Patient Volume:</t>
  </si>
  <si>
    <t>patients</t>
  </si>
  <si>
    <t>Currency Exchange Rates - Update Regularly</t>
  </si>
  <si>
    <t>Last Updated: 2026-01-12</t>
  </si>
  <si>
    <t>Currency</t>
  </si>
  <si>
    <t>Rate to USD</t>
  </si>
  <si>
    <t>USD to Currency</t>
  </si>
  <si>
    <t>EGP (Egyptian Pound)</t>
  </si>
  <si>
    <t>Update daily - highly volatile</t>
  </si>
  <si>
    <t>EUR (Euro)</t>
  </si>
  <si>
    <t>Update weekly</t>
  </si>
  <si>
    <t>GBP (British Pound)</t>
  </si>
  <si>
    <t>SAR (Saudi Riyal)</t>
  </si>
  <si>
    <t>Update monthly</t>
  </si>
  <si>
    <t>AED (UAE Dirham)</t>
  </si>
  <si>
    <t>CARE N TOUR</t>
  </si>
  <si>
    <t>Premium Medical Tourism in Egypt</t>
  </si>
  <si>
    <t>www.carentour.com | info@carentour.com | +20 122 9503333</t>
  </si>
  <si>
    <t>MEDICAL TOURISM PACKAGE QUOTATION</t>
  </si>
  <si>
    <t>PATIENT INFORMATION</t>
  </si>
  <si>
    <t>Country:</t>
  </si>
  <si>
    <t>MEDICAL PROCEDURE DETAILS</t>
  </si>
  <si>
    <t>Procedure:</t>
  </si>
  <si>
    <t>PACKAGE INCLUSIONS</t>
  </si>
  <si>
    <t>✓ Complete Medical Procedure</t>
  </si>
  <si>
    <t>USD</t>
  </si>
  <si>
    <t>✓ Hospital Stay &amp; Medical Care</t>
  </si>
  <si>
    <t>Included</t>
  </si>
  <si>
    <t>✓ Accommodation</t>
  </si>
  <si>
    <t>✓ All Meals</t>
  </si>
  <si>
    <t>✓ International Flights</t>
  </si>
  <si>
    <t>✓ Airport Transfers</t>
  </si>
  <si>
    <t>✓ Local Transportation</t>
  </si>
  <si>
    <t>As Required</t>
  </si>
  <si>
    <t>✓ 24/7 Medical Coordinator</t>
  </si>
  <si>
    <t>Complete Journey Support</t>
  </si>
  <si>
    <t>✓ Pre &amp; Post-Op Consultations</t>
  </si>
  <si>
    <t>✓ Medical Records &amp; Documentation</t>
  </si>
  <si>
    <t>ADDITIONAL SERVICES</t>
  </si>
  <si>
    <t>x</t>
  </si>
  <si>
    <t>=</t>
  </si>
  <si>
    <t>INVESTMENT SUMMARY</t>
  </si>
  <si>
    <t>Package Subtotal:</t>
  </si>
  <si>
    <t>TOTAL PACKAGE PRICE</t>
  </si>
  <si>
    <t>PAYMENT TERMS</t>
  </si>
  <si>
    <t>• 30% deposit required upon booking confirmation</t>
  </si>
  <si>
    <t>• 50% payment due 14 days before arrival</t>
  </si>
  <si>
    <t>• Final 20% payment upon arrival in Egypt</t>
  </si>
  <si>
    <t>• Accepted payment methods: Bank transfer, Credit card, PayPal</t>
  </si>
  <si>
    <t>WHY CHOOSE CARE N TOUR?</t>
  </si>
  <si>
    <t>✓ JCI Accredited Hospitals - International quality standards</t>
  </si>
  <si>
    <t>✓ 200+ Board-Certified Specialists - Internationally trained surgeons</t>
  </si>
  <si>
    <t>✓ Up to 70% Cost Savings - Compared to US/Europe prices</t>
  </si>
  <si>
    <t>✓ Fast-Track Treatment - No waiting lists, 2-3 weeks scheduling</t>
  </si>
  <si>
    <t>✓ 24/7 Multilingual Support - Dedicated coordinators throughout journey</t>
  </si>
  <si>
    <t>✓ Complete Travel Coordination - From visa to recovery, we handle everything</t>
  </si>
  <si>
    <t>TERMS &amp; CONDITIONS</t>
  </si>
  <si>
    <t>• This quotation is valid for 30 days from the date of issue.</t>
  </si>
  <si>
    <t>• Prices are subject to change based on currency fluctuations and availability.</t>
  </si>
  <si>
    <t>• Cancellation policy applies as per our standard terms and conditions.</t>
  </si>
  <si>
    <t>• Medical assessment required before final booking confirmation.</t>
  </si>
  <si>
    <t>• All medical procedures performed by licensed, board-certified specialists.</t>
  </si>
  <si>
    <t>Thank you for considering Care N Tour for your medical tourism needs.</t>
  </si>
  <si>
    <t>For questions or booking, contact us at info@carentour.com or +20 122 9503333</t>
  </si>
  <si>
    <t>ICSI</t>
  </si>
  <si>
    <t>Mohamed Alaa</t>
  </si>
  <si>
    <t>Egypt</t>
  </si>
  <si>
    <t>Nile 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</si>
</sst>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$#,##0.00"/>
    <numFmt numFmtId="166" formatCode="\$#,##0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1A365D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6"/>
      <color rgb="FF1A365D"/>
      <name val="Calibri"/>
      <family val="2"/>
    </font>
    <font>
      <i/>
      <sz val="11"/>
      <color rgb="FF0EA5E9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i/>
      <sz val="9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24"/>
      <color rgb="FF1A365D"/>
      <name val="Calibri"/>
      <family val="2"/>
    </font>
    <font>
      <i/>
      <sz val="12"/>
      <color rgb="FFFF9933"/>
      <name val="Calibri"/>
      <family val="2"/>
    </font>
    <font>
      <sz val="10"/>
      <color rgb="FF6B7280"/>
      <name val="Calibri"/>
      <family val="2"/>
    </font>
    <font>
      <sz val="11"/>
      <name val="Calibri"/>
      <family val="2"/>
    </font>
    <font>
      <sz val="10"/>
      <name val="Calibri"/>
      <family val="2"/>
    </font>
    <font>
      <i/>
      <sz val="10"/>
      <color rgb="FF1A365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3F4F6"/>
        <bgColor rgb="FFF3F4F6"/>
      </patternFill>
    </fill>
    <fill>
      <patternFill patternType="solid">
        <fgColor rgb="FF0EA5E9"/>
        <bgColor rgb="FF0EA5E9"/>
      </patternFill>
    </fill>
    <fill>
      <patternFill patternType="solid">
        <fgColor rgb="FFFF9933"/>
        <bgColor rgb="FFFF9933"/>
      </patternFill>
    </fill>
    <fill>
      <patternFill patternType="solid">
        <fgColor rgb="FFFFFF00"/>
        <bgColor rgb="FFFFFF00"/>
      </patternFill>
    </fill>
    <fill>
      <patternFill patternType="solid">
        <fgColor rgb="FFFFF3CD"/>
        <bgColor rgb="FFFFF3CD"/>
      </patternFill>
    </fill>
    <fill>
      <patternFill patternType="solid">
        <fgColor rgb="FF28A745"/>
        <bgColor rgb="FF28A74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4" fillId="0" borderId="0" xfId="0" applyFont="1"/>
    <xf numFmtId="0" fontId="5" fillId="6" borderId="0" xfId="0" applyFont="1" applyFill="1"/>
    <xf numFmtId="0" fontId="6" fillId="0" borderId="0" xfId="0" applyFont="1"/>
    <xf numFmtId="164" fontId="0" fillId="6" borderId="0" xfId="0" applyNumberFormat="1" applyFill="1"/>
    <xf numFmtId="0" fontId="0" fillId="6" borderId="0" xfId="0" applyFill="1"/>
    <xf numFmtId="3" fontId="0" fillId="6" borderId="0" xfId="0" applyNumberFormat="1" applyFill="1"/>
    <xf numFmtId="165" fontId="0" fillId="0" borderId="0" xfId="0" applyNumberFormat="1"/>
    <xf numFmtId="1" fontId="0" fillId="0" borderId="0" xfId="0" applyNumberFormat="1"/>
    <xf numFmtId="3" fontId="0" fillId="0" borderId="0" xfId="0" applyNumberFormat="1"/>
    <xf numFmtId="166" fontId="0" fillId="6" borderId="0" xfId="0" applyNumberFormat="1" applyFill="1"/>
    <xf numFmtId="0" fontId="10" fillId="4" borderId="1" xfId="0" applyFont="1" applyFill="1" applyBorder="1"/>
    <xf numFmtId="3" fontId="4" fillId="0" borderId="0" xfId="0" applyNumberFormat="1" applyFont="1"/>
    <xf numFmtId="165" fontId="4" fillId="0" borderId="0" xfId="0" applyNumberFormat="1" applyFont="1"/>
    <xf numFmtId="165" fontId="4" fillId="7" borderId="0" xfId="0" applyNumberFormat="1" applyFont="1" applyFill="1"/>
    <xf numFmtId="9" fontId="4" fillId="0" borderId="0" xfId="0" applyNumberFormat="1" applyFont="1"/>
    <xf numFmtId="164" fontId="0" fillId="0" borderId="0" xfId="0" applyNumberFormat="1"/>
    <xf numFmtId="165" fontId="0" fillId="0" borderId="0" xfId="0" applyNumberFormat="1" applyAlignment="1">
      <alignment horizontal="right"/>
    </xf>
    <xf numFmtId="167" fontId="0" fillId="6" borderId="1" xfId="0" applyNumberFormat="1" applyFill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165" fontId="13" fillId="8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6" borderId="1" xfId="0" applyFill="1" applyBorder="1"/>
    <xf numFmtId="0" fontId="0" fillId="0" borderId="2" xfId="0" applyBorder="1"/>
    <xf numFmtId="0" fontId="0" fillId="0" borderId="3" xfId="0" applyBorder="1"/>
    <xf numFmtId="0" fontId="11" fillId="0" borderId="0" xfId="0" applyFont="1"/>
    <xf numFmtId="0" fontId="0" fillId="6" borderId="0" xfId="0" applyFill="1"/>
    <xf numFmtId="0" fontId="2" fillId="0" borderId="0" xfId="0" applyFont="1"/>
    <xf numFmtId="0" fontId="14" fillId="0" borderId="0" xfId="0" applyFont="1" applyAlignment="1">
      <alignment horizontal="center" vertical="center"/>
    </xf>
    <xf numFmtId="0" fontId="18" fillId="0" borderId="0" xfId="0" applyFont="1"/>
    <xf numFmtId="0" fontId="13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165" fontId="17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0" fontId="1" fillId="4" borderId="0" xfId="0" applyFont="1" applyFill="1"/>
    <xf numFmtId="0" fontId="17" fillId="0" borderId="0" xfId="0" applyFont="1"/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" fillId="5" borderId="0" xfId="0" applyFont="1" applyFill="1"/>
    <xf numFmtId="0" fontId="16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17" zoomScale="156" zoomScaleNormal="120"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6" width="18" customWidth="1"/>
    <col min="7" max="8" width="15" customWidth="1"/>
  </cols>
  <sheetData>
    <row r="1" spans="1:8" ht="21" x14ac:dyDescent="0.2">
      <c r="A1" s="24" t="s">
        <v>0</v>
      </c>
      <c r="B1" s="25"/>
      <c r="C1" s="25"/>
      <c r="D1" s="25"/>
      <c r="E1" s="25"/>
      <c r="F1" s="25"/>
      <c r="G1" s="25"/>
      <c r="H1" s="25"/>
    </row>
    <row r="2" spans="1:8" x14ac:dyDescent="0.2">
      <c r="A2" s="30" t="s">
        <v>1</v>
      </c>
      <c r="B2" s="25"/>
      <c r="C2" s="25"/>
      <c r="D2" s="25"/>
      <c r="E2" s="25"/>
      <c r="F2" s="25"/>
      <c r="G2" s="25"/>
      <c r="H2" s="25"/>
    </row>
    <row r="4" spans="1:8" ht="17" x14ac:dyDescent="0.2">
      <c r="A4" s="26" t="s">
        <v>2</v>
      </c>
      <c r="B4" s="25"/>
      <c r="C4" s="25"/>
      <c r="D4" s="25"/>
      <c r="E4" s="25"/>
      <c r="F4" s="25"/>
      <c r="G4" s="25"/>
      <c r="H4" s="25"/>
    </row>
    <row r="5" spans="1:8" x14ac:dyDescent="0.2">
      <c r="A5" t="s">
        <v>3</v>
      </c>
      <c r="B5" s="9">
        <f ca="1">TODAY()</f>
        <v>46039</v>
      </c>
      <c r="D5" t="s">
        <v>4</v>
      </c>
      <c r="E5" s="10" t="s">
        <v>5</v>
      </c>
      <c r="G5" t="s">
        <v>6</v>
      </c>
      <c r="H5" s="10" t="s">
        <v>7</v>
      </c>
    </row>
    <row r="6" spans="1:8" x14ac:dyDescent="0.2">
      <c r="A6" t="s">
        <v>8</v>
      </c>
      <c r="B6" s="35" t="s">
        <v>302</v>
      </c>
      <c r="C6" s="25"/>
      <c r="D6" t="s">
        <v>9</v>
      </c>
      <c r="E6" s="35" t="s">
        <v>303</v>
      </c>
      <c r="F6" s="25"/>
      <c r="G6" t="s">
        <v>10</v>
      </c>
      <c r="H6" s="10">
        <v>40</v>
      </c>
    </row>
    <row r="8" spans="1:8" ht="17" x14ac:dyDescent="0.2">
      <c r="A8" s="26" t="s">
        <v>11</v>
      </c>
      <c r="B8" s="25"/>
      <c r="C8" s="25"/>
      <c r="D8" s="25"/>
      <c r="E8" s="25"/>
      <c r="F8" s="25"/>
      <c r="G8" s="25"/>
      <c r="H8" s="25"/>
    </row>
    <row r="9" spans="1:8" x14ac:dyDescent="0.2">
      <c r="A9" t="s">
        <v>12</v>
      </c>
      <c r="B9" s="31" t="s">
        <v>301</v>
      </c>
      <c r="C9" s="32"/>
      <c r="D9" s="33"/>
      <c r="E9" t="s">
        <v>13</v>
      </c>
      <c r="F9" s="10" t="s">
        <v>14</v>
      </c>
    </row>
    <row r="10" spans="1:8" x14ac:dyDescent="0.2">
      <c r="A10" t="s">
        <v>15</v>
      </c>
      <c r="B10" s="11">
        <v>45000</v>
      </c>
      <c r="C10" t="s">
        <v>16</v>
      </c>
      <c r="D10" s="12">
        <f>B10*'Currency Rates'!$B$5</f>
        <v>900</v>
      </c>
      <c r="E10" t="s">
        <v>17</v>
      </c>
      <c r="F10" s="10">
        <v>10</v>
      </c>
      <c r="G10" t="s">
        <v>18</v>
      </c>
    </row>
    <row r="12" spans="1:8" ht="17" x14ac:dyDescent="0.2">
      <c r="A12" s="26" t="s">
        <v>19</v>
      </c>
      <c r="B12" s="25"/>
      <c r="C12" s="25"/>
      <c r="D12" s="25"/>
      <c r="E12" s="25"/>
      <c r="F12" s="25"/>
      <c r="G12" s="25"/>
      <c r="H12" s="25"/>
    </row>
    <row r="13" spans="1:8" x14ac:dyDescent="0.2">
      <c r="A13" t="s">
        <v>20</v>
      </c>
      <c r="B13" s="10" t="s">
        <v>21</v>
      </c>
      <c r="C13" t="s">
        <v>22</v>
      </c>
      <c r="D13" s="10" t="s">
        <v>23</v>
      </c>
      <c r="E13" t="s">
        <v>24</v>
      </c>
      <c r="F13" s="10" t="s">
        <v>122</v>
      </c>
    </row>
    <row r="14" spans="1:8" x14ac:dyDescent="0.2">
      <c r="A14" t="s">
        <v>26</v>
      </c>
      <c r="B14" s="11">
        <v>5000</v>
      </c>
      <c r="C14" t="s">
        <v>27</v>
      </c>
      <c r="D14" s="13">
        <f>F10</f>
        <v>10</v>
      </c>
      <c r="E14" t="s">
        <v>28</v>
      </c>
      <c r="F14" s="14">
        <f>B14*D14</f>
        <v>50000</v>
      </c>
      <c r="G14" t="s">
        <v>16</v>
      </c>
      <c r="H14" s="12">
        <f>F14*'Currency Rates'!$B$5</f>
        <v>1000</v>
      </c>
    </row>
    <row r="15" spans="1:8" x14ac:dyDescent="0.2">
      <c r="A15" t="s">
        <v>29</v>
      </c>
      <c r="B15" s="11">
        <v>3000</v>
      </c>
      <c r="C15" t="s">
        <v>30</v>
      </c>
      <c r="D15" s="13">
        <f>F10</f>
        <v>10</v>
      </c>
      <c r="E15" t="s">
        <v>28</v>
      </c>
      <c r="F15" s="14">
        <f>B15*D15</f>
        <v>30000</v>
      </c>
      <c r="G15" t="s">
        <v>16</v>
      </c>
      <c r="H15" s="12">
        <f>F15*'Currency Rates'!$B$5</f>
        <v>600</v>
      </c>
    </row>
    <row r="17" spans="1:8" ht="17" x14ac:dyDescent="0.2">
      <c r="A17" s="26" t="s">
        <v>31</v>
      </c>
      <c r="B17" s="25"/>
      <c r="C17" s="25"/>
      <c r="D17" s="25"/>
      <c r="E17" s="25"/>
      <c r="F17" s="25"/>
      <c r="G17" s="25"/>
      <c r="H17" s="25"/>
    </row>
    <row r="18" spans="1:8" x14ac:dyDescent="0.2">
      <c r="A18" t="s">
        <v>32</v>
      </c>
      <c r="B18" s="15">
        <v>800</v>
      </c>
      <c r="C18" t="s">
        <v>33</v>
      </c>
      <c r="D18" s="35"/>
      <c r="E18" s="25"/>
      <c r="F18" t="s">
        <v>34</v>
      </c>
      <c r="G18" s="10" t="s">
        <v>35</v>
      </c>
    </row>
    <row r="19" spans="1:8" x14ac:dyDescent="0.2">
      <c r="A19" t="s">
        <v>36</v>
      </c>
      <c r="B19" s="11">
        <v>5000</v>
      </c>
      <c r="C19" t="s">
        <v>16</v>
      </c>
      <c r="D19" s="12">
        <f>B19*'Currency Rates'!$B$5</f>
        <v>100</v>
      </c>
      <c r="E19" t="s">
        <v>37</v>
      </c>
      <c r="F19" s="10" t="s">
        <v>38</v>
      </c>
    </row>
    <row r="20" spans="1:8" x14ac:dyDescent="0.2">
      <c r="A20" t="s">
        <v>39</v>
      </c>
      <c r="B20" s="11">
        <v>5000</v>
      </c>
      <c r="C20" t="s">
        <v>16</v>
      </c>
      <c r="D20" s="12">
        <f>B20*'Currency Rates'!$B$5</f>
        <v>100</v>
      </c>
      <c r="E20" t="s">
        <v>40</v>
      </c>
      <c r="F20" s="10">
        <v>20</v>
      </c>
    </row>
    <row r="22" spans="1:8" ht="17" x14ac:dyDescent="0.2">
      <c r="A22" s="26" t="s">
        <v>41</v>
      </c>
      <c r="B22" s="25"/>
      <c r="C22" s="25"/>
      <c r="D22" s="25"/>
      <c r="E22" s="25"/>
      <c r="F22" s="25"/>
      <c r="G22" s="25"/>
      <c r="H22" s="25"/>
    </row>
    <row r="23" spans="1:8" x14ac:dyDescent="0.2">
      <c r="A23" s="16" t="s">
        <v>42</v>
      </c>
      <c r="B23" s="16" t="s">
        <v>43</v>
      </c>
      <c r="C23" s="16" t="s">
        <v>44</v>
      </c>
      <c r="D23" s="16" t="s">
        <v>45</v>
      </c>
      <c r="E23" s="16" t="s">
        <v>46</v>
      </c>
      <c r="F23" s="16" t="s">
        <v>47</v>
      </c>
    </row>
    <row r="24" spans="1:8" x14ac:dyDescent="0.2">
      <c r="A24" s="10" t="s">
        <v>304</v>
      </c>
      <c r="B24" s="10">
        <v>0</v>
      </c>
      <c r="C24" s="11">
        <v>7000</v>
      </c>
      <c r="D24" s="12">
        <f>C24*'Currency Rates'!$B$5</f>
        <v>140</v>
      </c>
      <c r="E24" s="14">
        <f>B24*C24</f>
        <v>0</v>
      </c>
      <c r="F24" s="12">
        <f>E24*'Currency Rates'!$B$5</f>
        <v>0</v>
      </c>
    </row>
    <row r="25" spans="1:8" x14ac:dyDescent="0.2">
      <c r="A25" s="10"/>
      <c r="B25" s="10">
        <v>0</v>
      </c>
      <c r="C25" s="11">
        <v>0</v>
      </c>
      <c r="D25" s="12">
        <f>C25*'Currency Rates'!$B$5</f>
        <v>0</v>
      </c>
      <c r="E25" s="14">
        <f>B25*C25</f>
        <v>0</v>
      </c>
      <c r="F25" s="12">
        <f>E25*'Currency Rates'!$B$5</f>
        <v>0</v>
      </c>
    </row>
    <row r="26" spans="1:8" x14ac:dyDescent="0.2">
      <c r="A26" s="10"/>
      <c r="B26" s="10">
        <v>0</v>
      </c>
      <c r="C26" s="11">
        <v>0</v>
      </c>
      <c r="D26" s="12">
        <f>C26*'Currency Rates'!$B$5</f>
        <v>0</v>
      </c>
      <c r="E26" s="14">
        <f>B26*C26</f>
        <v>0</v>
      </c>
      <c r="F26" s="12">
        <f>E26*'Currency Rates'!$B$5</f>
        <v>0</v>
      </c>
    </row>
    <row r="27" spans="1:8" x14ac:dyDescent="0.2">
      <c r="A27" s="10"/>
      <c r="B27" s="10">
        <v>0</v>
      </c>
      <c r="C27" s="11">
        <v>0</v>
      </c>
      <c r="D27" s="12">
        <f>C27*'Currency Rates'!$B$5</f>
        <v>0</v>
      </c>
      <c r="E27" s="14">
        <f>B27*C27</f>
        <v>0</v>
      </c>
      <c r="F27" s="12">
        <f>E27*'Currency Rates'!$B$5</f>
        <v>0</v>
      </c>
    </row>
    <row r="28" spans="1:8" x14ac:dyDescent="0.2">
      <c r="A28" s="10"/>
      <c r="B28" s="10">
        <v>0</v>
      </c>
      <c r="C28" s="11">
        <v>0</v>
      </c>
      <c r="D28" s="12">
        <f>C28*'Currency Rates'!$B$5</f>
        <v>0</v>
      </c>
      <c r="E28" s="14">
        <f>B28*C28</f>
        <v>0</v>
      </c>
      <c r="F28" s="12">
        <f>E28*'Currency Rates'!$B$5</f>
        <v>0</v>
      </c>
    </row>
    <row r="29" spans="1:8" x14ac:dyDescent="0.2">
      <c r="A29" s="6" t="s">
        <v>48</v>
      </c>
      <c r="E29" s="17">
        <f>SUM(E24:E28)</f>
        <v>0</v>
      </c>
      <c r="F29" s="18">
        <f>SUM(F24:F28)</f>
        <v>0</v>
      </c>
    </row>
    <row r="31" spans="1:8" ht="17" x14ac:dyDescent="0.2">
      <c r="A31" s="28" t="s">
        <v>49</v>
      </c>
      <c r="B31" s="25"/>
      <c r="C31" s="25"/>
      <c r="D31" s="25"/>
      <c r="E31" s="25"/>
      <c r="F31" s="25"/>
      <c r="G31" s="25"/>
      <c r="H31" s="25"/>
    </row>
    <row r="32" spans="1:8" x14ac:dyDescent="0.2">
      <c r="A32" t="s">
        <v>50</v>
      </c>
      <c r="B32" s="12">
        <f>D10</f>
        <v>900</v>
      </c>
      <c r="D32" t="s">
        <v>51</v>
      </c>
      <c r="E32" s="14">
        <f>B10</f>
        <v>45000</v>
      </c>
    </row>
    <row r="33" spans="1:8" x14ac:dyDescent="0.2">
      <c r="A33" t="s">
        <v>52</v>
      </c>
      <c r="B33" s="12">
        <f>H14+H15</f>
        <v>1600</v>
      </c>
      <c r="D33" t="s">
        <v>51</v>
      </c>
      <c r="E33" s="14">
        <f>F14+F15</f>
        <v>80000</v>
      </c>
    </row>
    <row r="34" spans="1:8" x14ac:dyDescent="0.2">
      <c r="A34" t="s">
        <v>53</v>
      </c>
      <c r="B34" s="12">
        <f>B18+D19+D20</f>
        <v>1000</v>
      </c>
      <c r="D34" t="s">
        <v>51</v>
      </c>
      <c r="E34" s="14">
        <f>(B19+B20)</f>
        <v>10000</v>
      </c>
    </row>
    <row r="35" spans="1:8" x14ac:dyDescent="0.2">
      <c r="A35" t="s">
        <v>54</v>
      </c>
      <c r="B35" s="12">
        <f>F29</f>
        <v>0</v>
      </c>
      <c r="D35" t="s">
        <v>51</v>
      </c>
      <c r="E35" s="14">
        <f>E29</f>
        <v>0</v>
      </c>
    </row>
    <row r="36" spans="1:8" x14ac:dyDescent="0.2">
      <c r="A36" t="s">
        <v>55</v>
      </c>
      <c r="B36" s="12">
        <f>'Indirect Costs'!D15</f>
        <v>586</v>
      </c>
    </row>
    <row r="37" spans="1:8" x14ac:dyDescent="0.2">
      <c r="A37" s="6" t="s">
        <v>56</v>
      </c>
      <c r="B37" s="19">
        <f>SUM(B32:B36)</f>
        <v>4086</v>
      </c>
    </row>
    <row r="39" spans="1:8" ht="17" x14ac:dyDescent="0.2">
      <c r="A39" s="28" t="s">
        <v>57</v>
      </c>
      <c r="B39" s="25"/>
      <c r="C39" s="25"/>
      <c r="D39" s="25"/>
      <c r="E39" s="25"/>
      <c r="F39" s="25"/>
      <c r="G39" s="25"/>
      <c r="H39" s="25"/>
    </row>
    <row r="40" spans="1:8" x14ac:dyDescent="0.2">
      <c r="A40" t="s">
        <v>58</v>
      </c>
      <c r="B40" s="20">
        <f>IF(H5="B2B",0.35,0.5)</f>
        <v>0.5</v>
      </c>
      <c r="C40" s="34" t="s">
        <v>59</v>
      </c>
      <c r="D40" s="25"/>
    </row>
    <row r="41" spans="1:8" x14ac:dyDescent="0.2">
      <c r="A41" t="s">
        <v>60</v>
      </c>
      <c r="B41" s="18">
        <f>B37*B40</f>
        <v>2043</v>
      </c>
    </row>
    <row r="43" spans="1:8" ht="21" x14ac:dyDescent="0.2">
      <c r="A43" s="29" t="s">
        <v>61</v>
      </c>
      <c r="B43" s="25"/>
      <c r="C43" s="25"/>
      <c r="D43" s="27">
        <f>B37+B41</f>
        <v>6129</v>
      </c>
      <c r="E43" s="25"/>
      <c r="F43" s="25"/>
    </row>
  </sheetData>
  <mergeCells count="16">
    <mergeCell ref="A1:H1"/>
    <mergeCell ref="A8:H8"/>
    <mergeCell ref="D43:F43"/>
    <mergeCell ref="A22:H22"/>
    <mergeCell ref="A17:H17"/>
    <mergeCell ref="A39:H39"/>
    <mergeCell ref="A43:C43"/>
    <mergeCell ref="A31:H31"/>
    <mergeCell ref="A2:H2"/>
    <mergeCell ref="B9:D9"/>
    <mergeCell ref="C40:D40"/>
    <mergeCell ref="A12:H12"/>
    <mergeCell ref="A4:H4"/>
    <mergeCell ref="B6:C6"/>
    <mergeCell ref="D18:E18"/>
    <mergeCell ref="E6:F6"/>
  </mergeCells>
  <dataValidations count="4">
    <dataValidation type="list" sqref="H5" xr:uid="{00000000-0002-0000-0000-000000000000}">
      <formula1>"B2B,B2C"</formula1>
    </dataValidation>
    <dataValidation type="list" sqref="F9" xr:uid="{00000000-0002-0000-0000-000001000000}">
      <formula1>"Premium,Mid-Range,Budget"</formula1>
    </dataValidation>
    <dataValidation type="list" sqref="B13" xr:uid="{00000000-0002-0000-0000-000002000000}">
      <formula1>"5-Star,4-Star,3-Star"</formula1>
    </dataValidation>
    <dataValidation type="list" sqref="F13" xr:uid="{00000000-0002-0000-0000-000003000000}">
      <formula1>"Breakfast,Half Board,Full Board,All Inclusive"</formula1>
    </dataValidation>
  </dataValidations>
  <pageMargins left="0.75" right="0.75" top="1" bottom="1" header="0.5" footer="0.5"/>
  <pageSetup paperSize="9" orientation="portrait" horizontalDpi="0" verticalDpi="0"/>
  <ignoredErrors>
    <ignoredError sqref="E24:E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20" customWidth="1"/>
    <col min="4" max="6" width="25" customWidth="1"/>
    <col min="7" max="7" width="28" customWidth="1"/>
    <col min="8" max="9" width="15" customWidth="1"/>
    <col min="10" max="10" width="40" customWidth="1"/>
  </cols>
  <sheetData>
    <row r="1" spans="1:10" ht="16" x14ac:dyDescent="0.2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x14ac:dyDescent="0.2">
      <c r="A2" s="2" t="s">
        <v>72</v>
      </c>
      <c r="B2" s="2"/>
      <c r="C2" s="2" t="s">
        <v>73</v>
      </c>
      <c r="D2" s="2"/>
      <c r="E2" s="2"/>
      <c r="F2" s="2"/>
      <c r="G2" s="2"/>
      <c r="H2" s="2"/>
      <c r="I2" s="2"/>
      <c r="J2" s="2"/>
    </row>
    <row r="3" spans="1:10" x14ac:dyDescent="0.2">
      <c r="A3" s="3" t="s">
        <v>74</v>
      </c>
      <c r="B3" s="3"/>
      <c r="C3" s="3" t="s">
        <v>75</v>
      </c>
      <c r="D3" s="3"/>
      <c r="E3" s="3"/>
      <c r="F3" s="3"/>
      <c r="G3" s="3"/>
      <c r="H3" s="3"/>
      <c r="I3" s="3"/>
      <c r="J3" s="3"/>
    </row>
    <row r="4" spans="1:10" x14ac:dyDescent="0.2">
      <c r="A4" s="2" t="s">
        <v>76</v>
      </c>
      <c r="B4" s="2"/>
      <c r="C4" s="2" t="s">
        <v>77</v>
      </c>
      <c r="D4" s="2"/>
      <c r="E4" s="2"/>
      <c r="F4" s="2"/>
      <c r="G4" s="2"/>
      <c r="H4" s="2"/>
      <c r="I4" s="2"/>
      <c r="J4" s="2"/>
    </row>
    <row r="5" spans="1:10" x14ac:dyDescent="0.2">
      <c r="A5" s="3" t="s">
        <v>78</v>
      </c>
      <c r="B5" s="3"/>
      <c r="C5" s="3" t="s">
        <v>79</v>
      </c>
      <c r="D5" s="3"/>
      <c r="E5" s="3"/>
      <c r="F5" s="3"/>
      <c r="G5" s="3"/>
      <c r="H5" s="3"/>
      <c r="I5" s="3"/>
      <c r="J5" s="3"/>
    </row>
    <row r="6" spans="1:10" x14ac:dyDescent="0.2">
      <c r="A6" s="2" t="s">
        <v>80</v>
      </c>
      <c r="B6" s="2"/>
      <c r="C6" s="2" t="s">
        <v>81</v>
      </c>
      <c r="D6" s="2"/>
      <c r="E6" s="2"/>
      <c r="F6" s="2"/>
      <c r="G6" s="2"/>
      <c r="H6" s="2"/>
      <c r="I6" s="2"/>
      <c r="J6" s="2"/>
    </row>
    <row r="7" spans="1:10" x14ac:dyDescent="0.2">
      <c r="A7" s="3" t="s">
        <v>82</v>
      </c>
      <c r="B7" s="3"/>
      <c r="C7" s="3" t="s">
        <v>83</v>
      </c>
      <c r="D7" s="3"/>
      <c r="E7" s="3"/>
      <c r="F7" s="3"/>
      <c r="G7" s="3"/>
      <c r="H7" s="3"/>
      <c r="I7" s="3"/>
      <c r="J7" s="3"/>
    </row>
    <row r="8" spans="1:10" x14ac:dyDescent="0.2">
      <c r="A8" s="2" t="s">
        <v>84</v>
      </c>
      <c r="B8" s="2"/>
      <c r="C8" s="2" t="s">
        <v>85</v>
      </c>
      <c r="D8" s="2"/>
      <c r="E8" s="2"/>
      <c r="F8" s="2"/>
      <c r="G8" s="2"/>
      <c r="H8" s="2"/>
      <c r="I8" s="2"/>
      <c r="J8" s="2"/>
    </row>
    <row r="9" spans="1:10" x14ac:dyDescent="0.2">
      <c r="A9" s="3" t="s">
        <v>86</v>
      </c>
      <c r="B9" s="3"/>
      <c r="C9" s="3" t="s">
        <v>87</v>
      </c>
      <c r="D9" s="3"/>
      <c r="E9" s="3"/>
      <c r="F9" s="3"/>
      <c r="G9" s="3"/>
      <c r="H9" s="3"/>
      <c r="I9" s="3"/>
      <c r="J9" s="3"/>
    </row>
    <row r="10" spans="1:10" x14ac:dyDescent="0.2">
      <c r="A10" s="2" t="s">
        <v>88</v>
      </c>
      <c r="B10" s="2"/>
      <c r="C10" s="2" t="s">
        <v>89</v>
      </c>
      <c r="D10" s="2"/>
      <c r="E10" s="2"/>
      <c r="F10" s="2"/>
      <c r="G10" s="2"/>
      <c r="H10" s="2"/>
      <c r="I10" s="2"/>
      <c r="J10" s="2"/>
    </row>
    <row r="11" spans="1:10" x14ac:dyDescent="0.2">
      <c r="A11" s="3" t="s">
        <v>90</v>
      </c>
      <c r="B11" s="3"/>
      <c r="C11" s="3" t="s">
        <v>91</v>
      </c>
      <c r="D11" s="3"/>
      <c r="E11" s="3"/>
      <c r="F11" s="3"/>
      <c r="G11" s="3"/>
      <c r="H11" s="3"/>
      <c r="I11" s="3"/>
      <c r="J11" s="3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H2" sqref="H2:I9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12" customWidth="1"/>
    <col min="4" max="4" width="15" customWidth="1"/>
    <col min="5" max="5" width="20" customWidth="1"/>
    <col min="6" max="6" width="22" customWidth="1"/>
    <col min="7" max="7" width="15" customWidth="1"/>
    <col min="8" max="8" width="25" customWidth="1"/>
    <col min="9" max="9" width="22" customWidth="1"/>
    <col min="10" max="10" width="30" customWidth="1"/>
  </cols>
  <sheetData>
    <row r="1" spans="1:10" ht="16" x14ac:dyDescent="0.2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71</v>
      </c>
    </row>
    <row r="2" spans="1:10" x14ac:dyDescent="0.2">
      <c r="A2" s="2" t="s">
        <v>101</v>
      </c>
      <c r="B2" s="2" t="s">
        <v>102</v>
      </c>
      <c r="C2" s="2" t="s">
        <v>21</v>
      </c>
      <c r="D2" s="2" t="s">
        <v>103</v>
      </c>
      <c r="E2" s="2" t="s">
        <v>23</v>
      </c>
      <c r="F2" s="2">
        <v>2500</v>
      </c>
      <c r="G2" s="2" t="s">
        <v>104</v>
      </c>
      <c r="H2" s="2">
        <v>300</v>
      </c>
      <c r="I2" s="2">
        <v>25</v>
      </c>
      <c r="J2" s="2"/>
    </row>
    <row r="3" spans="1:10" x14ac:dyDescent="0.2">
      <c r="A3" s="3" t="s">
        <v>105</v>
      </c>
      <c r="B3" s="3" t="s">
        <v>102</v>
      </c>
      <c r="C3" s="3" t="s">
        <v>21</v>
      </c>
      <c r="D3" s="3" t="s">
        <v>103</v>
      </c>
      <c r="E3" s="3" t="s">
        <v>106</v>
      </c>
      <c r="F3" s="3">
        <v>3500</v>
      </c>
      <c r="G3" s="3" t="s">
        <v>25</v>
      </c>
      <c r="H3" s="3">
        <v>600</v>
      </c>
      <c r="I3" s="3">
        <v>25</v>
      </c>
      <c r="J3" s="3"/>
    </row>
    <row r="4" spans="1:10" x14ac:dyDescent="0.2">
      <c r="A4" s="2" t="s">
        <v>107</v>
      </c>
      <c r="B4" s="2" t="s">
        <v>108</v>
      </c>
      <c r="C4" s="2" t="s">
        <v>109</v>
      </c>
      <c r="D4" s="2" t="s">
        <v>103</v>
      </c>
      <c r="E4" s="2" t="s">
        <v>23</v>
      </c>
      <c r="F4" s="2">
        <v>1500</v>
      </c>
      <c r="G4" s="2" t="s">
        <v>104</v>
      </c>
      <c r="H4" s="2">
        <v>200</v>
      </c>
      <c r="I4" s="2">
        <v>20</v>
      </c>
      <c r="J4" s="2"/>
    </row>
    <row r="5" spans="1:10" x14ac:dyDescent="0.2">
      <c r="A5" s="3" t="s">
        <v>110</v>
      </c>
      <c r="B5" s="3" t="s">
        <v>108</v>
      </c>
      <c r="C5" s="3" t="s">
        <v>109</v>
      </c>
      <c r="D5" s="3" t="s">
        <v>103</v>
      </c>
      <c r="E5" s="3" t="s">
        <v>111</v>
      </c>
      <c r="F5" s="3">
        <v>2200</v>
      </c>
      <c r="G5" s="3" t="s">
        <v>112</v>
      </c>
      <c r="H5" s="3">
        <v>800</v>
      </c>
      <c r="I5" s="3">
        <v>20</v>
      </c>
      <c r="J5" s="3"/>
    </row>
    <row r="6" spans="1:10" x14ac:dyDescent="0.2">
      <c r="A6" s="2" t="s">
        <v>113</v>
      </c>
      <c r="B6" s="2" t="s">
        <v>114</v>
      </c>
      <c r="C6" s="2" t="s">
        <v>115</v>
      </c>
      <c r="D6" s="2" t="s">
        <v>103</v>
      </c>
      <c r="E6" s="2" t="s">
        <v>23</v>
      </c>
      <c r="F6" s="2">
        <v>800</v>
      </c>
      <c r="G6" s="2" t="s">
        <v>104</v>
      </c>
      <c r="H6" s="2">
        <v>150</v>
      </c>
      <c r="I6" s="2">
        <v>30</v>
      </c>
      <c r="J6" s="2"/>
    </row>
    <row r="7" spans="1:10" x14ac:dyDescent="0.2">
      <c r="A7" s="3" t="s">
        <v>116</v>
      </c>
      <c r="B7" s="3" t="s">
        <v>114</v>
      </c>
      <c r="C7" s="3" t="s">
        <v>115</v>
      </c>
      <c r="D7" s="3" t="s">
        <v>103</v>
      </c>
      <c r="E7" s="3" t="s">
        <v>117</v>
      </c>
      <c r="F7" s="3">
        <v>1000</v>
      </c>
      <c r="G7" s="3" t="s">
        <v>25</v>
      </c>
      <c r="H7" s="3">
        <v>400</v>
      </c>
      <c r="I7" s="3">
        <v>30</v>
      </c>
      <c r="J7" s="3"/>
    </row>
    <row r="8" spans="1:10" x14ac:dyDescent="0.2">
      <c r="A8" s="2" t="s">
        <v>118</v>
      </c>
      <c r="B8" s="2" t="s">
        <v>119</v>
      </c>
      <c r="C8" s="2" t="s">
        <v>21</v>
      </c>
      <c r="D8" s="2" t="s">
        <v>120</v>
      </c>
      <c r="E8" s="2" t="s">
        <v>121</v>
      </c>
      <c r="F8" s="2">
        <v>4000</v>
      </c>
      <c r="G8" s="2" t="s">
        <v>122</v>
      </c>
      <c r="H8" s="2">
        <v>1200</v>
      </c>
      <c r="I8" s="2">
        <v>40</v>
      </c>
      <c r="J8" s="2"/>
    </row>
    <row r="9" spans="1:10" x14ac:dyDescent="0.2">
      <c r="A9" s="3" t="s">
        <v>123</v>
      </c>
      <c r="B9" s="3" t="s">
        <v>124</v>
      </c>
      <c r="C9" s="3" t="s">
        <v>109</v>
      </c>
      <c r="D9" s="3" t="s">
        <v>120</v>
      </c>
      <c r="E9" s="3" t="s">
        <v>23</v>
      </c>
      <c r="F9" s="3">
        <v>1800</v>
      </c>
      <c r="G9" s="3" t="s">
        <v>104</v>
      </c>
      <c r="H9" s="3">
        <v>250</v>
      </c>
      <c r="I9" s="3">
        <v>35</v>
      </c>
      <c r="J9" s="3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E2" sqref="E2:G11"/>
    </sheetView>
  </sheetViews>
  <sheetFormatPr baseColWidth="10" defaultColWidth="8.83203125" defaultRowHeight="15" x14ac:dyDescent="0.2"/>
  <cols>
    <col min="1" max="1" width="18" customWidth="1"/>
    <col min="2" max="3" width="30" customWidth="1"/>
    <col min="4" max="4" width="18" customWidth="1"/>
    <col min="5" max="7" width="15" customWidth="1"/>
    <col min="8" max="8" width="20" customWidth="1"/>
    <col min="9" max="9" width="25" customWidth="1"/>
  </cols>
  <sheetData>
    <row r="1" spans="1:9" ht="16" x14ac:dyDescent="0.2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71</v>
      </c>
    </row>
    <row r="2" spans="1:9" x14ac:dyDescent="0.2">
      <c r="A2" s="2" t="s">
        <v>133</v>
      </c>
      <c r="B2" s="2" t="s">
        <v>134</v>
      </c>
      <c r="C2" s="2" t="s">
        <v>135</v>
      </c>
      <c r="D2" s="2" t="s">
        <v>38</v>
      </c>
      <c r="E2" s="2">
        <v>400</v>
      </c>
      <c r="F2" s="2">
        <v>13</v>
      </c>
      <c r="G2" s="2">
        <v>12</v>
      </c>
      <c r="H2" s="2"/>
      <c r="I2" s="2"/>
    </row>
    <row r="3" spans="1:9" x14ac:dyDescent="0.2">
      <c r="A3" s="3" t="s">
        <v>133</v>
      </c>
      <c r="B3" s="3" t="s">
        <v>134</v>
      </c>
      <c r="C3" s="3" t="s">
        <v>135</v>
      </c>
      <c r="D3" s="3" t="s">
        <v>136</v>
      </c>
      <c r="E3" s="3">
        <v>800</v>
      </c>
      <c r="F3" s="3">
        <v>26</v>
      </c>
      <c r="G3" s="3">
        <v>24</v>
      </c>
      <c r="H3" s="3"/>
      <c r="I3" s="3"/>
    </row>
    <row r="4" spans="1:9" x14ac:dyDescent="0.2">
      <c r="A4" s="2" t="s">
        <v>133</v>
      </c>
      <c r="B4" s="2" t="s">
        <v>137</v>
      </c>
      <c r="C4" s="2" t="s">
        <v>135</v>
      </c>
      <c r="D4" s="2" t="s">
        <v>38</v>
      </c>
      <c r="E4" s="2">
        <v>700</v>
      </c>
      <c r="F4" s="2">
        <v>23</v>
      </c>
      <c r="G4" s="2">
        <v>21</v>
      </c>
      <c r="H4" s="2"/>
      <c r="I4" s="2"/>
    </row>
    <row r="5" spans="1:9" x14ac:dyDescent="0.2">
      <c r="A5" s="3" t="s">
        <v>133</v>
      </c>
      <c r="B5" s="3" t="s">
        <v>137</v>
      </c>
      <c r="C5" s="3" t="s">
        <v>135</v>
      </c>
      <c r="D5" s="3" t="s">
        <v>136</v>
      </c>
      <c r="E5" s="3">
        <v>1400</v>
      </c>
      <c r="F5" s="3">
        <v>45</v>
      </c>
      <c r="G5" s="3">
        <v>42</v>
      </c>
      <c r="H5" s="3"/>
      <c r="I5" s="3"/>
    </row>
    <row r="6" spans="1:9" x14ac:dyDescent="0.2">
      <c r="A6" s="2" t="s">
        <v>138</v>
      </c>
      <c r="B6" s="2" t="s">
        <v>139</v>
      </c>
      <c r="C6" s="2" t="s">
        <v>140</v>
      </c>
      <c r="D6" s="2" t="s">
        <v>141</v>
      </c>
      <c r="E6" s="2">
        <v>1200</v>
      </c>
      <c r="F6" s="2">
        <v>39</v>
      </c>
      <c r="G6" s="2">
        <v>36</v>
      </c>
      <c r="H6" s="2"/>
      <c r="I6" s="2" t="s">
        <v>142</v>
      </c>
    </row>
    <row r="7" spans="1:9" x14ac:dyDescent="0.2">
      <c r="A7" s="3" t="s">
        <v>138</v>
      </c>
      <c r="B7" s="3" t="s">
        <v>143</v>
      </c>
      <c r="C7" s="3" t="s">
        <v>144</v>
      </c>
      <c r="D7" s="3" t="s">
        <v>38</v>
      </c>
      <c r="E7" s="3">
        <v>250</v>
      </c>
      <c r="F7" s="3">
        <v>8</v>
      </c>
      <c r="G7" s="3">
        <v>7.5</v>
      </c>
      <c r="H7" s="3"/>
      <c r="I7" s="3"/>
    </row>
    <row r="8" spans="1:9" x14ac:dyDescent="0.2">
      <c r="A8" s="2" t="s">
        <v>145</v>
      </c>
      <c r="B8" s="2" t="s">
        <v>146</v>
      </c>
      <c r="C8" s="2" t="s">
        <v>147</v>
      </c>
      <c r="D8" s="2" t="s">
        <v>148</v>
      </c>
      <c r="E8" s="2"/>
      <c r="F8" s="2">
        <v>400</v>
      </c>
      <c r="G8" s="2">
        <v>370</v>
      </c>
      <c r="H8" s="2"/>
      <c r="I8" s="2" t="s">
        <v>149</v>
      </c>
    </row>
    <row r="9" spans="1:9" x14ac:dyDescent="0.2">
      <c r="A9" s="3" t="s">
        <v>145</v>
      </c>
      <c r="B9" s="3" t="s">
        <v>150</v>
      </c>
      <c r="C9" s="3" t="s">
        <v>147</v>
      </c>
      <c r="D9" s="3" t="s">
        <v>148</v>
      </c>
      <c r="E9" s="3"/>
      <c r="F9" s="3">
        <v>250</v>
      </c>
      <c r="G9" s="3">
        <v>230</v>
      </c>
      <c r="H9" s="3"/>
      <c r="I9" s="3" t="s">
        <v>149</v>
      </c>
    </row>
    <row r="10" spans="1:9" x14ac:dyDescent="0.2">
      <c r="A10" s="2" t="s">
        <v>145</v>
      </c>
      <c r="B10" s="2" t="s">
        <v>151</v>
      </c>
      <c r="C10" s="2" t="s">
        <v>147</v>
      </c>
      <c r="D10" s="2" t="s">
        <v>148</v>
      </c>
      <c r="E10" s="2"/>
      <c r="F10" s="2">
        <v>800</v>
      </c>
      <c r="G10" s="2">
        <v>740</v>
      </c>
      <c r="H10" s="2"/>
      <c r="I10" s="2" t="s">
        <v>149</v>
      </c>
    </row>
    <row r="11" spans="1:9" x14ac:dyDescent="0.2">
      <c r="A11" s="3" t="s">
        <v>145</v>
      </c>
      <c r="B11" s="3" t="s">
        <v>152</v>
      </c>
      <c r="C11" s="3" t="s">
        <v>147</v>
      </c>
      <c r="D11" s="3" t="s">
        <v>148</v>
      </c>
      <c r="E11" s="3"/>
      <c r="F11" s="3">
        <v>350</v>
      </c>
      <c r="G11" s="3">
        <v>320</v>
      </c>
      <c r="H11" s="3"/>
      <c r="I11" s="3" t="s">
        <v>149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tabSelected="1" zoomScale="140" zoomScaleNormal="140" workbookViewId="0">
      <selection activeCell="C6" sqref="C2:C6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18" customWidth="1"/>
    <col min="4" max="4" width="40" customWidth="1"/>
    <col min="5" max="5" width="12" customWidth="1"/>
    <col min="6" max="8" width="15" customWidth="1"/>
    <col min="9" max="9" width="12" customWidth="1"/>
    <col min="10" max="10" width="25" customWidth="1"/>
  </cols>
  <sheetData>
    <row r="1" spans="1:10" ht="16" x14ac:dyDescent="0.2">
      <c r="A1" s="1" t="s">
        <v>153</v>
      </c>
      <c r="B1" s="1" t="s">
        <v>42</v>
      </c>
      <c r="C1" s="1" t="s">
        <v>64</v>
      </c>
      <c r="D1" s="1" t="s">
        <v>126</v>
      </c>
      <c r="E1" s="1" t="s">
        <v>154</v>
      </c>
      <c r="F1" s="1" t="s">
        <v>129</v>
      </c>
      <c r="G1" s="1" t="s">
        <v>130</v>
      </c>
      <c r="H1" s="1" t="s">
        <v>131</v>
      </c>
      <c r="I1" s="1" t="s">
        <v>155</v>
      </c>
      <c r="J1" s="1" t="s">
        <v>71</v>
      </c>
    </row>
    <row r="2" spans="1:10" x14ac:dyDescent="0.2">
      <c r="A2" s="2" t="s">
        <v>156</v>
      </c>
      <c r="B2" s="2" t="s">
        <v>157</v>
      </c>
      <c r="C2" s="2" t="s">
        <v>158</v>
      </c>
      <c r="D2" s="2" t="s">
        <v>159</v>
      </c>
      <c r="E2" s="2" t="s">
        <v>160</v>
      </c>
      <c r="F2" s="2">
        <v>1200</v>
      </c>
      <c r="G2" s="2">
        <v>39</v>
      </c>
      <c r="H2" s="2">
        <v>36</v>
      </c>
      <c r="I2" s="2">
        <v>4</v>
      </c>
      <c r="J2" s="2"/>
    </row>
    <row r="3" spans="1:10" x14ac:dyDescent="0.2">
      <c r="A3" s="3" t="s">
        <v>161</v>
      </c>
      <c r="B3" s="3" t="s">
        <v>162</v>
      </c>
      <c r="C3" s="3" t="s">
        <v>158</v>
      </c>
      <c r="D3" s="3" t="s">
        <v>163</v>
      </c>
      <c r="E3" s="3" t="s">
        <v>164</v>
      </c>
      <c r="F3" s="3">
        <v>2000</v>
      </c>
      <c r="G3" s="3">
        <v>65</v>
      </c>
      <c r="H3" s="3">
        <v>60</v>
      </c>
      <c r="I3" s="3">
        <v>4</v>
      </c>
      <c r="J3" s="3"/>
    </row>
    <row r="4" spans="1:10" x14ac:dyDescent="0.2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>
        <v>1500</v>
      </c>
      <c r="G4" s="2">
        <v>48</v>
      </c>
      <c r="H4" s="2">
        <v>45</v>
      </c>
      <c r="I4" s="2">
        <v>2</v>
      </c>
      <c r="J4" s="2"/>
    </row>
    <row r="5" spans="1:10" x14ac:dyDescent="0.2">
      <c r="A5" s="3" t="s">
        <v>170</v>
      </c>
      <c r="B5" s="3" t="s">
        <v>171</v>
      </c>
      <c r="C5" s="3" t="s">
        <v>158</v>
      </c>
      <c r="D5" s="3" t="s">
        <v>172</v>
      </c>
      <c r="E5" s="3" t="s">
        <v>164</v>
      </c>
      <c r="F5" s="3">
        <v>6500</v>
      </c>
      <c r="G5" s="3">
        <v>210</v>
      </c>
      <c r="H5" s="3">
        <v>195</v>
      </c>
      <c r="I5" s="3">
        <v>2</v>
      </c>
      <c r="J5" s="3" t="s">
        <v>173</v>
      </c>
    </row>
    <row r="6" spans="1:10" x14ac:dyDescent="0.2">
      <c r="A6" s="2" t="s">
        <v>174</v>
      </c>
      <c r="B6" s="2" t="s">
        <v>175</v>
      </c>
      <c r="C6" s="2" t="s">
        <v>158</v>
      </c>
      <c r="D6" s="2" t="s">
        <v>176</v>
      </c>
      <c r="E6" s="2" t="s">
        <v>164</v>
      </c>
      <c r="F6" s="2">
        <v>2500</v>
      </c>
      <c r="G6" s="2">
        <v>81</v>
      </c>
      <c r="H6" s="2">
        <v>75</v>
      </c>
      <c r="I6" s="2">
        <v>4</v>
      </c>
      <c r="J6" s="2"/>
    </row>
    <row r="7" spans="1:10" x14ac:dyDescent="0.2">
      <c r="A7" s="3" t="s">
        <v>177</v>
      </c>
      <c r="B7" s="3" t="s">
        <v>178</v>
      </c>
      <c r="C7" s="3" t="s">
        <v>179</v>
      </c>
      <c r="D7" s="3" t="s">
        <v>180</v>
      </c>
      <c r="E7" s="3" t="s">
        <v>160</v>
      </c>
      <c r="F7" s="3">
        <v>1800</v>
      </c>
      <c r="G7" s="3">
        <v>58</v>
      </c>
      <c r="H7" s="3">
        <v>54</v>
      </c>
      <c r="I7" s="3">
        <v>4</v>
      </c>
      <c r="J7" s="3"/>
    </row>
    <row r="8" spans="1:10" x14ac:dyDescent="0.2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185</v>
      </c>
      <c r="F8" s="2">
        <v>800</v>
      </c>
      <c r="G8" s="2">
        <v>26</v>
      </c>
      <c r="H8" s="2">
        <v>24</v>
      </c>
      <c r="I8" s="2"/>
      <c r="J8" s="2"/>
    </row>
    <row r="9" spans="1:10" x14ac:dyDescent="0.2">
      <c r="A9" s="3" t="s">
        <v>186</v>
      </c>
      <c r="B9" s="3" t="s">
        <v>187</v>
      </c>
      <c r="C9" s="3" t="s">
        <v>188</v>
      </c>
      <c r="D9" s="3" t="s">
        <v>189</v>
      </c>
      <c r="E9" s="3" t="s">
        <v>185</v>
      </c>
      <c r="F9" s="3">
        <v>1500</v>
      </c>
      <c r="G9" s="3">
        <v>48</v>
      </c>
      <c r="H9" s="3">
        <v>45</v>
      </c>
      <c r="I9" s="3"/>
      <c r="J9" s="3"/>
    </row>
    <row r="10" spans="1:10" x14ac:dyDescent="0.2">
      <c r="A10" s="2" t="s">
        <v>190</v>
      </c>
      <c r="B10" s="2" t="s">
        <v>191</v>
      </c>
      <c r="C10" s="2" t="s">
        <v>192</v>
      </c>
      <c r="D10" s="2" t="s">
        <v>193</v>
      </c>
      <c r="E10" s="2" t="s">
        <v>194</v>
      </c>
      <c r="F10" s="2">
        <v>600</v>
      </c>
      <c r="G10" s="2">
        <v>19</v>
      </c>
      <c r="H10" s="2">
        <v>18</v>
      </c>
      <c r="I10" s="2"/>
      <c r="J10" s="2"/>
    </row>
    <row r="11" spans="1:10" x14ac:dyDescent="0.2">
      <c r="A11" s="3" t="s">
        <v>195</v>
      </c>
      <c r="B11" s="3" t="s">
        <v>196</v>
      </c>
      <c r="C11" s="3" t="s">
        <v>197</v>
      </c>
      <c r="D11" s="3" t="s">
        <v>198</v>
      </c>
      <c r="E11" s="3" t="s">
        <v>199</v>
      </c>
      <c r="F11" s="3">
        <v>500</v>
      </c>
      <c r="G11" s="3">
        <v>16</v>
      </c>
      <c r="H11" s="3">
        <v>15</v>
      </c>
      <c r="I11" s="3"/>
      <c r="J11" s="3"/>
    </row>
    <row r="12" spans="1:10" x14ac:dyDescent="0.2">
      <c r="A12" s="2" t="s">
        <v>200</v>
      </c>
      <c r="B12" s="2" t="s">
        <v>201</v>
      </c>
      <c r="C12" s="2" t="s">
        <v>202</v>
      </c>
      <c r="D12" s="2" t="s">
        <v>203</v>
      </c>
      <c r="E12" s="2" t="s">
        <v>199</v>
      </c>
      <c r="F12" s="2">
        <v>300</v>
      </c>
      <c r="G12" s="2">
        <v>10</v>
      </c>
      <c r="H12" s="2">
        <v>9</v>
      </c>
      <c r="I12" s="2"/>
      <c r="J12" s="2"/>
    </row>
    <row r="13" spans="1:10" x14ac:dyDescent="0.2">
      <c r="A13" s="3" t="s">
        <v>204</v>
      </c>
      <c r="B13" s="3" t="s">
        <v>205</v>
      </c>
      <c r="C13" s="3" t="s">
        <v>197</v>
      </c>
      <c r="D13" s="3" t="s">
        <v>206</v>
      </c>
      <c r="E13" s="3" t="s">
        <v>207</v>
      </c>
      <c r="F13" s="3">
        <v>400</v>
      </c>
      <c r="G13" s="3">
        <v>13</v>
      </c>
      <c r="H13" s="3">
        <v>12</v>
      </c>
      <c r="I13" s="3"/>
      <c r="J13" s="3"/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35" customWidth="1"/>
    <col min="2" max="3" width="22" customWidth="1"/>
    <col min="4" max="4" width="25" customWidth="1"/>
    <col min="5" max="5" width="50" customWidth="1"/>
  </cols>
  <sheetData>
    <row r="1" spans="1:5" ht="19" x14ac:dyDescent="0.25">
      <c r="A1" s="36" t="s">
        <v>208</v>
      </c>
      <c r="B1" s="25"/>
      <c r="C1" s="25"/>
      <c r="D1" s="25"/>
      <c r="E1" s="25"/>
    </row>
    <row r="3" spans="1:5" x14ac:dyDescent="0.2">
      <c r="A3" s="4" t="s">
        <v>209</v>
      </c>
      <c r="B3" s="4" t="s">
        <v>210</v>
      </c>
      <c r="C3" s="4" t="s">
        <v>211</v>
      </c>
      <c r="D3" s="4" t="s">
        <v>212</v>
      </c>
      <c r="E3" s="4" t="s">
        <v>71</v>
      </c>
    </row>
    <row r="4" spans="1:5" x14ac:dyDescent="0.2">
      <c r="A4" s="2" t="s">
        <v>213</v>
      </c>
      <c r="B4" s="2">
        <v>50000</v>
      </c>
      <c r="C4" s="2">
        <f t="shared" ref="C4:C13" si="0">B4/12</f>
        <v>4166.666666666667</v>
      </c>
      <c r="D4" s="2">
        <f>B4/$B$18</f>
        <v>100</v>
      </c>
      <c r="E4" s="2" t="s">
        <v>214</v>
      </c>
    </row>
    <row r="5" spans="1:5" x14ac:dyDescent="0.2">
      <c r="A5" s="3" t="s">
        <v>215</v>
      </c>
      <c r="B5" s="3">
        <v>120000</v>
      </c>
      <c r="C5" s="3">
        <f t="shared" si="0"/>
        <v>10000</v>
      </c>
      <c r="D5" s="2">
        <f t="shared" ref="D5:D13" si="1">B5/$B$18</f>
        <v>240</v>
      </c>
      <c r="E5" s="3" t="s">
        <v>216</v>
      </c>
    </row>
    <row r="6" spans="1:5" x14ac:dyDescent="0.2">
      <c r="A6" s="2" t="s">
        <v>217</v>
      </c>
      <c r="B6" s="2">
        <v>24000</v>
      </c>
      <c r="C6" s="2">
        <f t="shared" si="0"/>
        <v>2000</v>
      </c>
      <c r="D6" s="2">
        <f t="shared" si="1"/>
        <v>48</v>
      </c>
      <c r="E6" s="2" t="s">
        <v>218</v>
      </c>
    </row>
    <row r="7" spans="1:5" x14ac:dyDescent="0.2">
      <c r="A7" s="3" t="s">
        <v>219</v>
      </c>
      <c r="B7" s="3">
        <v>18000</v>
      </c>
      <c r="C7" s="3">
        <f t="shared" si="0"/>
        <v>1500</v>
      </c>
      <c r="D7" s="2">
        <f t="shared" si="1"/>
        <v>36</v>
      </c>
      <c r="E7" s="3" t="s">
        <v>220</v>
      </c>
    </row>
    <row r="8" spans="1:5" x14ac:dyDescent="0.2">
      <c r="A8" s="2" t="s">
        <v>221</v>
      </c>
      <c r="B8" s="2">
        <v>12000</v>
      </c>
      <c r="C8" s="2">
        <f t="shared" si="0"/>
        <v>1000</v>
      </c>
      <c r="D8" s="2">
        <f t="shared" si="1"/>
        <v>24</v>
      </c>
      <c r="E8" s="2" t="s">
        <v>222</v>
      </c>
    </row>
    <row r="9" spans="1:5" x14ac:dyDescent="0.2">
      <c r="A9" s="3" t="s">
        <v>223</v>
      </c>
      <c r="B9" s="3">
        <v>30000</v>
      </c>
      <c r="C9" s="3">
        <f t="shared" si="0"/>
        <v>2500</v>
      </c>
      <c r="D9" s="2">
        <f t="shared" si="1"/>
        <v>60</v>
      </c>
      <c r="E9" s="3" t="s">
        <v>224</v>
      </c>
    </row>
    <row r="10" spans="1:5" x14ac:dyDescent="0.2">
      <c r="A10" s="2" t="s">
        <v>225</v>
      </c>
      <c r="B10" s="2">
        <v>8000</v>
      </c>
      <c r="C10" s="2">
        <f t="shared" si="0"/>
        <v>666.66666666666663</v>
      </c>
      <c r="D10" s="2">
        <f t="shared" si="1"/>
        <v>16</v>
      </c>
      <c r="E10" s="2" t="s">
        <v>226</v>
      </c>
    </row>
    <row r="11" spans="1:5" x14ac:dyDescent="0.2">
      <c r="A11" s="3" t="s">
        <v>227</v>
      </c>
      <c r="B11" s="3">
        <v>15000</v>
      </c>
      <c r="C11" s="3">
        <f t="shared" si="0"/>
        <v>1250</v>
      </c>
      <c r="D11" s="2">
        <f t="shared" si="1"/>
        <v>30</v>
      </c>
      <c r="E11" s="3" t="s">
        <v>228</v>
      </c>
    </row>
    <row r="12" spans="1:5" x14ac:dyDescent="0.2">
      <c r="A12" s="2" t="s">
        <v>229</v>
      </c>
      <c r="B12" s="2">
        <v>6000</v>
      </c>
      <c r="C12" s="2">
        <f t="shared" si="0"/>
        <v>500</v>
      </c>
      <c r="D12" s="2">
        <f t="shared" si="1"/>
        <v>12</v>
      </c>
      <c r="E12" s="2" t="s">
        <v>230</v>
      </c>
    </row>
    <row r="13" spans="1:5" x14ac:dyDescent="0.2">
      <c r="A13" s="3" t="s">
        <v>231</v>
      </c>
      <c r="B13" s="3">
        <v>10000</v>
      </c>
      <c r="C13" s="3">
        <f t="shared" si="0"/>
        <v>833.33333333333337</v>
      </c>
      <c r="D13" s="2">
        <f t="shared" si="1"/>
        <v>20</v>
      </c>
      <c r="E13" s="3" t="s">
        <v>232</v>
      </c>
    </row>
    <row r="15" spans="1:5" x14ac:dyDescent="0.2">
      <c r="A15" s="5" t="s">
        <v>233</v>
      </c>
      <c r="B15" s="5">
        <f>SUM(B4:B13)</f>
        <v>293000</v>
      </c>
      <c r="C15" s="5">
        <f>SUM(C4:C13)</f>
        <v>24416.666666666668</v>
      </c>
      <c r="D15" s="5">
        <f>SUM(D4:D13)</f>
        <v>586</v>
      </c>
      <c r="E15" s="5" t="s">
        <v>234</v>
      </c>
    </row>
    <row r="17" spans="1:5" x14ac:dyDescent="0.2">
      <c r="A17" s="6" t="s">
        <v>235</v>
      </c>
      <c r="B17" s="25" t="s">
        <v>236</v>
      </c>
      <c r="C17" s="25"/>
      <c r="D17" s="25"/>
      <c r="E17" s="25"/>
    </row>
    <row r="18" spans="1:5" x14ac:dyDescent="0.2">
      <c r="A18" s="6" t="s">
        <v>237</v>
      </c>
      <c r="B18" s="7">
        <v>500</v>
      </c>
      <c r="C18" t="s">
        <v>238</v>
      </c>
    </row>
  </sheetData>
  <mergeCells count="2">
    <mergeCell ref="B17:E17"/>
    <mergeCell ref="A1:E1"/>
  </mergeCells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20" customWidth="1"/>
    <col min="4" max="4" width="40" customWidth="1"/>
  </cols>
  <sheetData>
    <row r="1" spans="1:4" ht="19" x14ac:dyDescent="0.25">
      <c r="A1" s="36" t="s">
        <v>239</v>
      </c>
      <c r="B1" s="25"/>
      <c r="C1" s="25"/>
      <c r="D1" s="25"/>
    </row>
    <row r="2" spans="1:4" x14ac:dyDescent="0.2">
      <c r="A2" s="8" t="s">
        <v>240</v>
      </c>
    </row>
    <row r="4" spans="1:4" x14ac:dyDescent="0.2">
      <c r="A4" s="4" t="s">
        <v>241</v>
      </c>
      <c r="B4" s="4" t="s">
        <v>242</v>
      </c>
      <c r="C4" s="4" t="s">
        <v>243</v>
      </c>
      <c r="D4" s="4" t="s">
        <v>71</v>
      </c>
    </row>
    <row r="5" spans="1:4" x14ac:dyDescent="0.2">
      <c r="A5" s="3" t="s">
        <v>244</v>
      </c>
      <c r="B5" s="23">
        <f>1/C5</f>
        <v>0.02</v>
      </c>
      <c r="C5" s="23">
        <v>50</v>
      </c>
      <c r="D5" s="3" t="s">
        <v>245</v>
      </c>
    </row>
    <row r="6" spans="1:4" x14ac:dyDescent="0.2">
      <c r="A6" s="2" t="s">
        <v>246</v>
      </c>
      <c r="B6" s="23">
        <f t="shared" ref="B6:B9" si="0">1/C6</f>
        <v>1.7857142857142856E-2</v>
      </c>
      <c r="C6" s="2">
        <v>56</v>
      </c>
      <c r="D6" s="2" t="s">
        <v>247</v>
      </c>
    </row>
    <row r="7" spans="1:4" x14ac:dyDescent="0.2">
      <c r="A7" s="3" t="s">
        <v>248</v>
      </c>
      <c r="B7" s="23">
        <f t="shared" si="0"/>
        <v>1.4285714285714285E-2</v>
      </c>
      <c r="C7" s="3">
        <v>70</v>
      </c>
      <c r="D7" s="3" t="s">
        <v>247</v>
      </c>
    </row>
    <row r="8" spans="1:4" x14ac:dyDescent="0.2">
      <c r="A8" s="2" t="s">
        <v>249</v>
      </c>
      <c r="B8" s="23">
        <f t="shared" si="0"/>
        <v>6.6666666666666666E-2</v>
      </c>
      <c r="C8" s="2">
        <v>15</v>
      </c>
      <c r="D8" s="2" t="s">
        <v>250</v>
      </c>
    </row>
    <row r="9" spans="1:4" x14ac:dyDescent="0.2">
      <c r="A9" s="3" t="s">
        <v>251</v>
      </c>
      <c r="B9" s="23">
        <f t="shared" si="0"/>
        <v>6.6666666666666666E-2</v>
      </c>
      <c r="C9" s="3">
        <v>15</v>
      </c>
      <c r="D9" s="3" t="s">
        <v>250</v>
      </c>
    </row>
  </sheetData>
  <mergeCells count="1">
    <mergeCell ref="A1:D1"/>
  </mergeCells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3"/>
  <sheetViews>
    <sheetView view="pageBreakPreview" zoomScale="130" zoomScaleNormal="100" zoomScaleSheetLayoutView="130" workbookViewId="0">
      <selection activeCell="E10" sqref="E10:F10"/>
    </sheetView>
  </sheetViews>
  <sheetFormatPr baseColWidth="10" defaultColWidth="8.83203125" defaultRowHeight="15" x14ac:dyDescent="0.2"/>
  <cols>
    <col min="1" max="1" width="35" customWidth="1"/>
    <col min="2" max="2" width="15" customWidth="1"/>
    <col min="3" max="3" width="8" customWidth="1"/>
    <col min="4" max="4" width="15" customWidth="1"/>
    <col min="5" max="5" width="11.1640625" bestFit="1" customWidth="1"/>
    <col min="6" max="6" width="9.5" bestFit="1" customWidth="1"/>
  </cols>
  <sheetData>
    <row r="1" spans="1:6" ht="35" customHeight="1" x14ac:dyDescent="0.2">
      <c r="A1" s="37" t="s">
        <v>252</v>
      </c>
      <c r="B1" s="25"/>
      <c r="C1" s="25"/>
      <c r="D1" s="25"/>
      <c r="E1" s="25"/>
      <c r="F1" s="25"/>
    </row>
    <row r="2" spans="1:6" ht="16" x14ac:dyDescent="0.2">
      <c r="A2" s="46" t="s">
        <v>253</v>
      </c>
      <c r="B2" s="25"/>
      <c r="C2" s="25"/>
      <c r="D2" s="25"/>
      <c r="E2" s="25"/>
      <c r="F2" s="25"/>
    </row>
    <row r="3" spans="1:6" x14ac:dyDescent="0.2">
      <c r="A3" s="48" t="s">
        <v>254</v>
      </c>
      <c r="B3" s="25"/>
      <c r="C3" s="25"/>
      <c r="D3" s="25"/>
      <c r="E3" s="25"/>
      <c r="F3" s="25"/>
    </row>
    <row r="6" spans="1:6" ht="25" customHeight="1" x14ac:dyDescent="0.2">
      <c r="A6" s="39" t="s">
        <v>255</v>
      </c>
      <c r="B6" s="25"/>
      <c r="C6" s="25"/>
      <c r="D6" s="25"/>
      <c r="E6" s="25"/>
      <c r="F6" s="25"/>
    </row>
    <row r="8" spans="1:6" ht="16" x14ac:dyDescent="0.2">
      <c r="A8" s="43" t="s">
        <v>256</v>
      </c>
      <c r="B8" s="25"/>
      <c r="C8" s="25"/>
      <c r="D8" s="25"/>
      <c r="E8" s="25"/>
      <c r="F8" s="25"/>
    </row>
    <row r="9" spans="1:6" x14ac:dyDescent="0.2">
      <c r="A9" t="s">
        <v>4</v>
      </c>
      <c r="B9" t="str">
        <f>'PRICING CALCULATOR'!E5</f>
        <v>QT-2026-001</v>
      </c>
      <c r="D9" t="s">
        <v>3</v>
      </c>
      <c r="E9" s="21">
        <f ca="1">'PRICING CALCULATOR'!B5</f>
        <v>46039</v>
      </c>
    </row>
    <row r="10" spans="1:6" x14ac:dyDescent="0.2">
      <c r="A10" t="s">
        <v>8</v>
      </c>
      <c r="B10" s="25" t="str">
        <f>'PRICING CALCULATOR'!B6</f>
        <v>Mohamed Alaa</v>
      </c>
      <c r="C10" s="25"/>
      <c r="D10" t="s">
        <v>257</v>
      </c>
      <c r="E10" s="25" t="str">
        <f>'PRICING CALCULATOR'!E6</f>
        <v>Egypt</v>
      </c>
      <c r="F10" s="25"/>
    </row>
    <row r="11" spans="1:6" x14ac:dyDescent="0.2">
      <c r="A11" t="s">
        <v>10</v>
      </c>
      <c r="B11">
        <f>'PRICING CALCULATOR'!H6</f>
        <v>40</v>
      </c>
      <c r="D11" t="s">
        <v>6</v>
      </c>
      <c r="E11" t="str">
        <f>'PRICING CALCULATOR'!H5</f>
        <v>B2C</v>
      </c>
    </row>
    <row r="13" spans="1:6" ht="16" x14ac:dyDescent="0.2">
      <c r="A13" s="43" t="s">
        <v>258</v>
      </c>
      <c r="B13" s="25"/>
      <c r="C13" s="25"/>
      <c r="D13" s="25"/>
      <c r="E13" s="25"/>
      <c r="F13" s="25"/>
    </row>
    <row r="14" spans="1:6" x14ac:dyDescent="0.2">
      <c r="A14" t="s">
        <v>259</v>
      </c>
      <c r="B14" s="25" t="str">
        <f>'PRICING CALCULATOR'!B9</f>
        <v>ICSI</v>
      </c>
      <c r="C14" s="25"/>
      <c r="D14" s="25"/>
      <c r="E14" t="s">
        <v>13</v>
      </c>
      <c r="F14" t="str">
        <f>'PRICING CALCULATOR'!F9</f>
        <v>Premium</v>
      </c>
    </row>
    <row r="15" spans="1:6" x14ac:dyDescent="0.2">
      <c r="A15" t="s">
        <v>17</v>
      </c>
    </row>
    <row r="17" spans="1:6" ht="16" x14ac:dyDescent="0.2">
      <c r="A17" s="47" t="s">
        <v>260</v>
      </c>
      <c r="B17" s="25"/>
      <c r="C17" s="25"/>
      <c r="D17" s="25"/>
      <c r="E17" s="25"/>
      <c r="F17" s="25"/>
    </row>
    <row r="18" spans="1:6" x14ac:dyDescent="0.2">
      <c r="A18" t="s">
        <v>261</v>
      </c>
      <c r="B18" s="25">
        <f>'PRICING CALCULATOR'!D9</f>
        <v>0</v>
      </c>
      <c r="C18" s="25"/>
      <c r="D18" s="25"/>
      <c r="E18" s="40" t="s">
        <v>262</v>
      </c>
      <c r="F18" s="25"/>
    </row>
    <row r="19" spans="1:6" x14ac:dyDescent="0.2">
      <c r="A19" t="s">
        <v>263</v>
      </c>
      <c r="B19" s="25" t="s">
        <v>264</v>
      </c>
      <c r="C19" s="25"/>
      <c r="D19" s="25"/>
      <c r="E19" s="40"/>
      <c r="F19" s="25"/>
    </row>
    <row r="20" spans="1:6" x14ac:dyDescent="0.2">
      <c r="A20" t="s">
        <v>265</v>
      </c>
      <c r="B20" s="25">
        <f>'PRICING CALCULATOR'!F10</f>
        <v>10</v>
      </c>
      <c r="C20" s="25"/>
      <c r="D20" s="25"/>
      <c r="E20" s="40"/>
      <c r="F20" s="25"/>
    </row>
    <row r="21" spans="1:6" x14ac:dyDescent="0.2">
      <c r="A21" t="s">
        <v>266</v>
      </c>
      <c r="B21" s="25" t="str">
        <f>'PRICING CALCULATOR'!F13</f>
        <v>All Inclusive</v>
      </c>
      <c r="C21" s="25"/>
      <c r="D21" s="25"/>
      <c r="E21" s="40"/>
      <c r="F21" s="25"/>
    </row>
    <row r="22" spans="1:6" x14ac:dyDescent="0.2">
      <c r="A22" t="s">
        <v>267</v>
      </c>
      <c r="B22" s="25">
        <f>'PRICING CALCULATOR'!D18</f>
        <v>0</v>
      </c>
      <c r="C22" s="25"/>
      <c r="D22" s="25"/>
      <c r="E22" s="40"/>
      <c r="F22" s="25"/>
    </row>
    <row r="23" spans="1:6" x14ac:dyDescent="0.2">
      <c r="A23" t="s">
        <v>268</v>
      </c>
      <c r="B23" s="25" t="s">
        <v>35</v>
      </c>
      <c r="C23" s="25"/>
      <c r="D23" s="25"/>
      <c r="E23" s="40"/>
      <c r="F23" s="25"/>
    </row>
    <row r="24" spans="1:6" x14ac:dyDescent="0.2">
      <c r="A24" t="s">
        <v>269</v>
      </c>
      <c r="B24" s="25" t="s">
        <v>270</v>
      </c>
      <c r="C24" s="25"/>
      <c r="D24" s="25"/>
      <c r="E24" s="40"/>
      <c r="F24" s="25"/>
    </row>
    <row r="25" spans="1:6" x14ac:dyDescent="0.2">
      <c r="A25" t="s">
        <v>271</v>
      </c>
      <c r="B25" s="25" t="s">
        <v>272</v>
      </c>
      <c r="C25" s="25"/>
      <c r="D25" s="25"/>
      <c r="E25" s="40" t="s">
        <v>264</v>
      </c>
      <c r="F25" s="25"/>
    </row>
    <row r="26" spans="1:6" x14ac:dyDescent="0.2">
      <c r="A26" t="s">
        <v>273</v>
      </c>
      <c r="B26" s="25" t="s">
        <v>264</v>
      </c>
      <c r="C26" s="25"/>
      <c r="D26" s="25"/>
      <c r="E26" s="40"/>
      <c r="F26" s="25"/>
    </row>
    <row r="27" spans="1:6" x14ac:dyDescent="0.2">
      <c r="A27" t="s">
        <v>274</v>
      </c>
      <c r="B27" s="25" t="s">
        <v>264</v>
      </c>
      <c r="C27" s="25"/>
      <c r="D27" s="25"/>
      <c r="E27" s="40"/>
      <c r="F27" s="25"/>
    </row>
    <row r="29" spans="1:6" ht="16" x14ac:dyDescent="0.2">
      <c r="A29" s="43" t="s">
        <v>275</v>
      </c>
      <c r="B29" s="25"/>
      <c r="C29" s="25"/>
      <c r="D29" s="25"/>
      <c r="E29" s="25"/>
      <c r="F29" s="25"/>
    </row>
    <row r="30" spans="1:6" x14ac:dyDescent="0.2">
      <c r="A30" t="str">
        <f>'PRICING CALCULATOR'!A23</f>
        <v>Service Name</v>
      </c>
      <c r="B30" t="str">
        <f>'PRICING CALCULATOR'!B23</f>
        <v>Quantity</v>
      </c>
      <c r="C30" t="s">
        <v>276</v>
      </c>
      <c r="D30" t="str">
        <f>'PRICING CALCULATOR'!D23</f>
        <v>Unit Cost (USD)</v>
      </c>
      <c r="E30" t="s">
        <v>277</v>
      </c>
      <c r="F30" s="22" t="str">
        <f>'PRICING CALCULATOR'!F23</f>
        <v>Total (USD)</v>
      </c>
    </row>
    <row r="31" spans="1:6" x14ac:dyDescent="0.2">
      <c r="A31" t="str">
        <f>'PRICING CALCULATOR'!A24</f>
        <v>Nile cruise</v>
      </c>
      <c r="B31">
        <f>'PRICING CALCULATOR'!B24</f>
        <v>0</v>
      </c>
      <c r="C31" t="s">
        <v>276</v>
      </c>
      <c r="D31">
        <f>'PRICING CALCULATOR'!D24</f>
        <v>140</v>
      </c>
      <c r="E31" t="s">
        <v>277</v>
      </c>
      <c r="F31" s="22">
        <f>'PRICING CALCULATOR'!F24</f>
        <v>0</v>
      </c>
    </row>
    <row r="32" spans="1:6" x14ac:dyDescent="0.2">
      <c r="A32">
        <f>'PRICING CALCULATOR'!A25</f>
        <v>0</v>
      </c>
      <c r="B32">
        <f>'PRICING CALCULATOR'!B25</f>
        <v>0</v>
      </c>
      <c r="C32" t="s">
        <v>276</v>
      </c>
      <c r="D32">
        <f>'PRICING CALCULATOR'!D25</f>
        <v>0</v>
      </c>
      <c r="E32" t="s">
        <v>277</v>
      </c>
      <c r="F32" s="22">
        <f>'PRICING CALCULATOR'!F25</f>
        <v>0</v>
      </c>
    </row>
    <row r="33" spans="1:6" x14ac:dyDescent="0.2">
      <c r="A33">
        <f>'PRICING CALCULATOR'!A26</f>
        <v>0</v>
      </c>
      <c r="B33">
        <f>'PRICING CALCULATOR'!B26</f>
        <v>0</v>
      </c>
      <c r="C33" t="s">
        <v>276</v>
      </c>
      <c r="D33">
        <f>'PRICING CALCULATOR'!D26</f>
        <v>0</v>
      </c>
      <c r="E33" t="s">
        <v>277</v>
      </c>
      <c r="F33" s="22">
        <f>'PRICING CALCULATOR'!F26</f>
        <v>0</v>
      </c>
    </row>
    <row r="34" spans="1:6" x14ac:dyDescent="0.2">
      <c r="A34">
        <f>'PRICING CALCULATOR'!A27</f>
        <v>0</v>
      </c>
      <c r="B34">
        <f>'PRICING CALCULATOR'!B27</f>
        <v>0</v>
      </c>
      <c r="C34" t="s">
        <v>276</v>
      </c>
      <c r="D34">
        <f>'PRICING CALCULATOR'!D27</f>
        <v>0</v>
      </c>
      <c r="E34" t="s">
        <v>277</v>
      </c>
      <c r="F34" s="22">
        <f>'PRICING CALCULATOR'!F27</f>
        <v>0</v>
      </c>
    </row>
    <row r="36" spans="1:6" ht="17" x14ac:dyDescent="0.2">
      <c r="A36" s="26" t="s">
        <v>278</v>
      </c>
      <c r="B36" s="25"/>
      <c r="C36" s="25"/>
      <c r="D36" s="25"/>
      <c r="E36" s="25"/>
      <c r="F36" s="25"/>
    </row>
    <row r="37" spans="1:6" x14ac:dyDescent="0.2">
      <c r="A37" s="44" t="s">
        <v>279</v>
      </c>
      <c r="B37" s="25"/>
      <c r="C37" s="25"/>
      <c r="D37" s="25"/>
      <c r="E37" s="41">
        <f>'PRICING CALCULATOR'!B36</f>
        <v>586</v>
      </c>
      <c r="F37" s="25"/>
    </row>
    <row r="39" spans="1:6" ht="30" customHeight="1" x14ac:dyDescent="0.2">
      <c r="A39" s="29" t="s">
        <v>280</v>
      </c>
      <c r="B39" s="25"/>
      <c r="C39" s="25"/>
      <c r="D39" s="25"/>
      <c r="E39" s="27">
        <f>'PRICING CALCULATOR'!D43</f>
        <v>6129</v>
      </c>
      <c r="F39" s="25"/>
    </row>
    <row r="41" spans="1:6" ht="16" x14ac:dyDescent="0.2">
      <c r="A41" s="47" t="s">
        <v>281</v>
      </c>
      <c r="B41" s="25"/>
      <c r="C41" s="25"/>
      <c r="D41" s="25"/>
      <c r="E41" s="25"/>
      <c r="F41" s="25"/>
    </row>
    <row r="42" spans="1:6" x14ac:dyDescent="0.2">
      <c r="A42" s="38" t="s">
        <v>282</v>
      </c>
      <c r="B42" s="25"/>
      <c r="C42" s="25"/>
      <c r="D42" s="25"/>
      <c r="E42" s="25"/>
      <c r="F42" s="25"/>
    </row>
    <row r="43" spans="1:6" x14ac:dyDescent="0.2">
      <c r="A43" s="38" t="s">
        <v>283</v>
      </c>
      <c r="B43" s="25"/>
      <c r="C43" s="25"/>
      <c r="D43" s="25"/>
      <c r="E43" s="25"/>
      <c r="F43" s="25"/>
    </row>
    <row r="44" spans="1:6" x14ac:dyDescent="0.2">
      <c r="A44" s="38" t="s">
        <v>284</v>
      </c>
      <c r="B44" s="25"/>
      <c r="C44" s="25"/>
      <c r="D44" s="25"/>
      <c r="E44" s="25"/>
      <c r="F44" s="25"/>
    </row>
    <row r="45" spans="1:6" x14ac:dyDescent="0.2">
      <c r="A45" s="38" t="s">
        <v>285</v>
      </c>
      <c r="B45" s="25"/>
      <c r="C45" s="25"/>
      <c r="D45" s="25"/>
      <c r="E45" s="25"/>
      <c r="F45" s="25"/>
    </row>
    <row r="47" spans="1:6" ht="16" x14ac:dyDescent="0.2">
      <c r="A47" s="43" t="s">
        <v>286</v>
      </c>
      <c r="B47" s="25"/>
      <c r="C47" s="25"/>
      <c r="D47" s="25"/>
      <c r="E47" s="25"/>
      <c r="F47" s="25"/>
    </row>
    <row r="48" spans="1:6" x14ac:dyDescent="0.2">
      <c r="A48" s="38" t="s">
        <v>287</v>
      </c>
      <c r="B48" s="25"/>
      <c r="C48" s="25"/>
      <c r="D48" s="25"/>
      <c r="E48" s="25"/>
      <c r="F48" s="25"/>
    </row>
    <row r="49" spans="1:6" x14ac:dyDescent="0.2">
      <c r="A49" s="38" t="s">
        <v>288</v>
      </c>
      <c r="B49" s="25"/>
      <c r="C49" s="25"/>
      <c r="D49" s="25"/>
      <c r="E49" s="25"/>
      <c r="F49" s="25"/>
    </row>
    <row r="50" spans="1:6" x14ac:dyDescent="0.2">
      <c r="A50" s="38" t="s">
        <v>289</v>
      </c>
      <c r="B50" s="25"/>
      <c r="C50" s="25"/>
      <c r="D50" s="25"/>
      <c r="E50" s="25"/>
      <c r="F50" s="25"/>
    </row>
    <row r="51" spans="1:6" x14ac:dyDescent="0.2">
      <c r="A51" s="38" t="s">
        <v>290</v>
      </c>
      <c r="B51" s="25"/>
      <c r="C51" s="25"/>
      <c r="D51" s="25"/>
      <c r="E51" s="25"/>
      <c r="F51" s="25"/>
    </row>
    <row r="52" spans="1:6" x14ac:dyDescent="0.2">
      <c r="A52" s="38" t="s">
        <v>291</v>
      </c>
      <c r="B52" s="25"/>
      <c r="C52" s="25"/>
      <c r="D52" s="25"/>
      <c r="E52" s="25"/>
      <c r="F52" s="25"/>
    </row>
    <row r="53" spans="1:6" x14ac:dyDescent="0.2">
      <c r="A53" s="38" t="s">
        <v>292</v>
      </c>
      <c r="B53" s="25"/>
      <c r="C53" s="25"/>
      <c r="D53" s="25"/>
      <c r="E53" s="25"/>
      <c r="F53" s="25"/>
    </row>
    <row r="55" spans="1:6" x14ac:dyDescent="0.2">
      <c r="A55" s="49" t="s">
        <v>293</v>
      </c>
      <c r="B55" s="25"/>
      <c r="C55" s="25"/>
      <c r="D55" s="25"/>
      <c r="E55" s="25"/>
      <c r="F55" s="25"/>
    </row>
    <row r="56" spans="1:6" x14ac:dyDescent="0.2">
      <c r="A56" s="34" t="s">
        <v>294</v>
      </c>
      <c r="B56" s="25"/>
      <c r="C56" s="25"/>
      <c r="D56" s="25"/>
      <c r="E56" s="25"/>
      <c r="F56" s="25"/>
    </row>
    <row r="57" spans="1:6" x14ac:dyDescent="0.2">
      <c r="A57" s="34" t="s">
        <v>295</v>
      </c>
      <c r="B57" s="25"/>
      <c r="C57" s="25"/>
      <c r="D57" s="25"/>
      <c r="E57" s="25"/>
      <c r="F57" s="25"/>
    </row>
    <row r="58" spans="1:6" x14ac:dyDescent="0.2">
      <c r="A58" s="34" t="s">
        <v>296</v>
      </c>
      <c r="B58" s="25"/>
      <c r="C58" s="25"/>
      <c r="D58" s="25"/>
      <c r="E58" s="25"/>
      <c r="F58" s="25"/>
    </row>
    <row r="59" spans="1:6" x14ac:dyDescent="0.2">
      <c r="A59" s="34" t="s">
        <v>297</v>
      </c>
      <c r="B59" s="25"/>
      <c r="C59" s="25"/>
      <c r="D59" s="25"/>
      <c r="E59" s="25"/>
      <c r="F59" s="25"/>
    </row>
    <row r="60" spans="1:6" x14ac:dyDescent="0.2">
      <c r="A60" s="34" t="s">
        <v>298</v>
      </c>
      <c r="B60" s="25"/>
      <c r="C60" s="25"/>
      <c r="D60" s="25"/>
      <c r="E60" s="25"/>
      <c r="F60" s="25"/>
    </row>
    <row r="62" spans="1:6" x14ac:dyDescent="0.2">
      <c r="A62" s="45" t="s">
        <v>299</v>
      </c>
      <c r="B62" s="25"/>
      <c r="C62" s="25"/>
      <c r="D62" s="25"/>
      <c r="E62" s="25"/>
      <c r="F62" s="25"/>
    </row>
    <row r="63" spans="1:6" x14ac:dyDescent="0.2">
      <c r="A63" s="42" t="s">
        <v>300</v>
      </c>
      <c r="B63" s="25"/>
      <c r="C63" s="25"/>
      <c r="D63" s="25"/>
      <c r="E63" s="25"/>
      <c r="F63" s="25"/>
    </row>
  </sheetData>
  <mergeCells count="56">
    <mergeCell ref="A3:F3"/>
    <mergeCell ref="E39:F39"/>
    <mergeCell ref="A55:F55"/>
    <mergeCell ref="A41:F41"/>
    <mergeCell ref="B14:D14"/>
    <mergeCell ref="B23:D23"/>
    <mergeCell ref="E24:F24"/>
    <mergeCell ref="E23:F23"/>
    <mergeCell ref="A62:F62"/>
    <mergeCell ref="A53:F53"/>
    <mergeCell ref="B24:D24"/>
    <mergeCell ref="A29:F29"/>
    <mergeCell ref="B20:D20"/>
    <mergeCell ref="A43:F43"/>
    <mergeCell ref="A36:F36"/>
    <mergeCell ref="E25:F25"/>
    <mergeCell ref="B22:D22"/>
    <mergeCell ref="A57:F57"/>
    <mergeCell ref="E20:F20"/>
    <mergeCell ref="A42:F42"/>
    <mergeCell ref="A47:F47"/>
    <mergeCell ref="A39:D39"/>
    <mergeCell ref="A50:F50"/>
    <mergeCell ref="A56:F56"/>
    <mergeCell ref="A63:F63"/>
    <mergeCell ref="A52:F52"/>
    <mergeCell ref="A13:F13"/>
    <mergeCell ref="A44:F44"/>
    <mergeCell ref="B10:C10"/>
    <mergeCell ref="B26:D26"/>
    <mergeCell ref="E27:F27"/>
    <mergeCell ref="A58:F58"/>
    <mergeCell ref="A48:F48"/>
    <mergeCell ref="E26:F26"/>
    <mergeCell ref="B25:D25"/>
    <mergeCell ref="A59:F59"/>
    <mergeCell ref="A37:D37"/>
    <mergeCell ref="A49:F49"/>
    <mergeCell ref="A51:F51"/>
    <mergeCell ref="A60:F60"/>
    <mergeCell ref="A1:F1"/>
    <mergeCell ref="A45:F45"/>
    <mergeCell ref="B18:D18"/>
    <mergeCell ref="A6:F6"/>
    <mergeCell ref="B27:D27"/>
    <mergeCell ref="E22:F22"/>
    <mergeCell ref="B21:D21"/>
    <mergeCell ref="E37:F37"/>
    <mergeCell ref="E18:F18"/>
    <mergeCell ref="E21:F21"/>
    <mergeCell ref="A2:F2"/>
    <mergeCell ref="B19:D19"/>
    <mergeCell ref="E10:F10"/>
    <mergeCell ref="E19:F19"/>
    <mergeCell ref="A8:F8"/>
    <mergeCell ref="A17:F17"/>
  </mergeCells>
  <pageMargins left="0.75" right="0.75" top="1" bottom="1" header="0.5" footer="0.5"/>
  <pageSetup paperSize="9" scale="7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PRICING CALCULATOR</vt:lpstr>
      <vt:lpstr>Medical Procedures</vt:lpstr>
      <vt:lpstr>Accommodation</vt:lpstr>
      <vt:lpstr>Transportation</vt:lpstr>
      <vt:lpstr>Tourism &amp; Extras</vt:lpstr>
      <vt:lpstr>Indirect Costs</vt:lpstr>
      <vt:lpstr>Currency Rates</vt:lpstr>
      <vt:lpstr>Quote 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Arik</cp:lastModifiedBy>
  <cp:lastPrinted>2026-01-12T17:06:56Z</cp:lastPrinted>
  <dcterms:created xsi:type="dcterms:W3CDTF">2026-01-12T13:32:43Z</dcterms:created>
  <dcterms:modified xsi:type="dcterms:W3CDTF">2026-01-17T14:27:47Z</dcterms:modified>
</cp:coreProperties>
</file>